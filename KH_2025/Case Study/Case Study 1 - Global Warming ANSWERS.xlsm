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6"/>
  <workbookPr/>
  <mc:AlternateContent xmlns:mc="http://schemas.openxmlformats.org/markup-compatibility/2006">
    <mc:Choice Requires="x15">
      <x15ac:absPath xmlns:x15ac="http://schemas.microsoft.com/office/spreadsheetml/2010/11/ac" url="/Users/kaitlynhughes/Desktop/Bryant/Math 110 2025/Case Study/"/>
    </mc:Choice>
  </mc:AlternateContent>
  <xr:revisionPtr revIDLastSave="0" documentId="13_ncr:1_{4A5F1608-2810-014F-A181-35DE949FDB80}" xr6:coauthVersionLast="47" xr6:coauthVersionMax="47" xr10:uidLastSave="{00000000-0000-0000-0000-000000000000}"/>
  <bookViews>
    <workbookView xWindow="5740" yWindow="500" windowWidth="17080" windowHeight="15880" activeTab="1" xr2:uid="{00000000-000D-0000-FFFF-FFFF00000000}"/>
  </bookViews>
  <sheets>
    <sheet name="GlobalTempLinear" sheetId="6" r:id="rId1"/>
    <sheet name="GlobalTempQuad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4" l="1"/>
  <c r="J30" i="4"/>
  <c r="J28" i="4"/>
  <c r="J27" i="4"/>
  <c r="D26" i="4"/>
  <c r="D17" i="4"/>
  <c r="D5" i="4"/>
  <c r="D6" i="4"/>
  <c r="D7" i="4"/>
  <c r="D8" i="4"/>
  <c r="D9" i="4"/>
  <c r="D10" i="4"/>
  <c r="D11" i="4"/>
  <c r="D12" i="4"/>
  <c r="D13" i="4"/>
  <c r="D14" i="4"/>
  <c r="D15" i="4"/>
  <c r="D16" i="4"/>
  <c r="D4" i="4"/>
  <c r="C5" i="4"/>
  <c r="C6" i="4"/>
  <c r="C7" i="4"/>
  <c r="C8" i="4"/>
  <c r="C9" i="4"/>
  <c r="C10" i="4"/>
  <c r="C11" i="4"/>
  <c r="C12" i="4"/>
  <c r="C13" i="4"/>
  <c r="C14" i="4"/>
  <c r="C15" i="4"/>
  <c r="C16" i="4"/>
  <c r="C4" i="4"/>
  <c r="D17" i="6"/>
  <c r="D5" i="6"/>
  <c r="D6" i="6"/>
  <c r="D7" i="6"/>
  <c r="D8" i="6"/>
  <c r="D9" i="6"/>
  <c r="D10" i="6"/>
  <c r="D11" i="6"/>
  <c r="D12" i="6"/>
  <c r="D13" i="6"/>
  <c r="D14" i="6"/>
  <c r="D15" i="6"/>
  <c r="D16" i="6"/>
  <c r="D4" i="6"/>
  <c r="C5" i="6"/>
  <c r="C6" i="6"/>
  <c r="C7" i="6"/>
  <c r="C8" i="6"/>
  <c r="C9" i="6"/>
  <c r="C10" i="6"/>
  <c r="C11" i="6"/>
  <c r="C12" i="6"/>
  <c r="C13" i="6"/>
  <c r="C14" i="6"/>
  <c r="C15" i="6"/>
  <c r="C16" i="6"/>
  <c r="C4" i="6"/>
</calcChain>
</file>

<file path=xl/sharedStrings.xml><?xml version="1.0" encoding="utf-8"?>
<sst xmlns="http://schemas.openxmlformats.org/spreadsheetml/2006/main" count="12" uniqueCount="8">
  <si>
    <t>Year (X)</t>
  </si>
  <si>
    <t>Temp (Y)</t>
  </si>
  <si>
    <t>Formula</t>
  </si>
  <si>
    <t>Residual Squared</t>
  </si>
  <si>
    <t xml:space="preserve">Total Error </t>
  </si>
  <si>
    <t>Global Mean Temps in degrees Celsius with a baseline of 0 set from 1950 to 1980</t>
  </si>
  <si>
    <t>Total Error</t>
  </si>
  <si>
    <t>Estimated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</si>
</sst>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595959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/>
    <xf numFmtId="0" fontId="19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center" vertical="center" readingOrder="1"/>
    </xf>
    <xf numFmtId="0" fontId="19" fillId="33" borderId="0" xfId="0" applyFont="1" applyFill="1"/>
    <xf numFmtId="0" fontId="19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6D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GlobalTempLinear!$B$3</c:f>
              <c:strCache>
                <c:ptCount val="1"/>
                <c:pt idx="0">
                  <c:v>Temp (Y)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7758902012248473"/>
                  <c:y val="-5.475393700787401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GlobalTempLinear!$A$4:$A$16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GlobalTempLinear!$B$4:$B$16</c:f>
              <c:numCache>
                <c:formatCode>General</c:formatCode>
                <c:ptCount val="13"/>
                <c:pt idx="0">
                  <c:v>-0.08</c:v>
                </c:pt>
                <c:pt idx="1">
                  <c:v>-0.43</c:v>
                </c:pt>
                <c:pt idx="2">
                  <c:v>-0.27</c:v>
                </c:pt>
                <c:pt idx="3">
                  <c:v>-0.15</c:v>
                </c:pt>
                <c:pt idx="4">
                  <c:v>0.13</c:v>
                </c:pt>
                <c:pt idx="5">
                  <c:v>-0.17</c:v>
                </c:pt>
                <c:pt idx="6">
                  <c:v>-0.03</c:v>
                </c:pt>
                <c:pt idx="7">
                  <c:v>0.03</c:v>
                </c:pt>
                <c:pt idx="8">
                  <c:v>0.26</c:v>
                </c:pt>
                <c:pt idx="9">
                  <c:v>0.45</c:v>
                </c:pt>
                <c:pt idx="10">
                  <c:v>0.39</c:v>
                </c:pt>
                <c:pt idx="11">
                  <c:v>0.72</c:v>
                </c:pt>
                <c:pt idx="12">
                  <c:v>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4-6C40-A98F-368AD4CB8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123632"/>
        <c:axId val="2005125344"/>
      </c:scatterChart>
      <c:valAx>
        <c:axId val="200512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25344"/>
        <c:crosses val="autoZero"/>
        <c:crossBetween val="midCat"/>
      </c:valAx>
      <c:valAx>
        <c:axId val="200512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2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GlobalTempQuad!$B$3</c:f>
              <c:strCache>
                <c:ptCount val="1"/>
                <c:pt idx="0">
                  <c:v>Temp (Y)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GlobalTempQuad!$A$4:$A$16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GlobalTempQuad!$B$4:$B$16</c:f>
              <c:numCache>
                <c:formatCode>General</c:formatCode>
                <c:ptCount val="13"/>
                <c:pt idx="0">
                  <c:v>-0.08</c:v>
                </c:pt>
                <c:pt idx="1">
                  <c:v>-0.43</c:v>
                </c:pt>
                <c:pt idx="2">
                  <c:v>-0.27</c:v>
                </c:pt>
                <c:pt idx="3">
                  <c:v>-0.15</c:v>
                </c:pt>
                <c:pt idx="4">
                  <c:v>0.13</c:v>
                </c:pt>
                <c:pt idx="5">
                  <c:v>-0.17</c:v>
                </c:pt>
                <c:pt idx="6">
                  <c:v>-0.03</c:v>
                </c:pt>
                <c:pt idx="7">
                  <c:v>0.03</c:v>
                </c:pt>
                <c:pt idx="8">
                  <c:v>0.26</c:v>
                </c:pt>
                <c:pt idx="9">
                  <c:v>0.45</c:v>
                </c:pt>
                <c:pt idx="10">
                  <c:v>0.39</c:v>
                </c:pt>
                <c:pt idx="11">
                  <c:v>0.72</c:v>
                </c:pt>
                <c:pt idx="12">
                  <c:v>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2-414A-A1F1-C4419A936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956528"/>
        <c:axId val="1944795408"/>
      </c:scatterChart>
      <c:valAx>
        <c:axId val="194495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795408"/>
        <c:crosses val="autoZero"/>
        <c:crossBetween val="midCat"/>
      </c:valAx>
      <c:valAx>
        <c:axId val="19447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5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615950</xdr:colOff>
      <xdr:row>7</xdr:row>
      <xdr:rowOff>44450</xdr:rowOff>
    </xdr:from>
    <xdr:to>
      <xdr:col>14</xdr:col>
      <xdr:colOff>476250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4EC1B3-8EBB-EB9F-C236-2A8A83E4C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10</xdr:row>
      <xdr:rowOff>133350</xdr:rowOff>
    </xdr:from>
    <xdr:to>
      <xdr:col>13</xdr:col>
      <xdr:colOff>247650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809172-C08D-7DA4-218C-BA16FAE066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7"/>
  <sheetViews>
    <sheetView workbookViewId="0">
      <selection activeCell="E21" sqref="E21"/>
    </sheetView>
  </sheetViews>
  <sheetFormatPr baseColWidth="10" defaultColWidth="8.83203125" defaultRowHeight="16" x14ac:dyDescent="0.2"/>
  <cols>
    <col min="1" max="1" width="15.1640625" style="2" customWidth="1"/>
    <col min="2" max="2" width="15.5" style="6" customWidth="1"/>
    <col min="3" max="4" width="14.1640625" style="2" customWidth="1"/>
    <col min="5" max="16384" width="8.83203125" style="2"/>
  </cols>
  <sheetData>
    <row r="1" spans="1:4" x14ac:dyDescent="0.2">
      <c r="A1" s="1" t="s">
        <v>5</v>
      </c>
      <c r="B1" s="2"/>
    </row>
    <row r="2" spans="1:4" x14ac:dyDescent="0.2">
      <c r="A2" s="1"/>
      <c r="B2" s="2"/>
    </row>
    <row r="3" spans="1:4" x14ac:dyDescent="0.2">
      <c r="A3" s="3" t="s">
        <v>0</v>
      </c>
      <c r="B3" s="3" t="s">
        <v>1</v>
      </c>
      <c r="C3" s="3" t="s">
        <v>7</v>
      </c>
      <c r="D3" s="4" t="s">
        <v>3</v>
      </c>
    </row>
    <row r="4" spans="1:4" x14ac:dyDescent="0.2">
      <c r="A4" s="2">
        <v>0</v>
      </c>
      <c r="B4" s="2">
        <v>-0.08</v>
      </c>
      <c r="C4" s="2">
        <f>0.0094*A4-0.4236</f>
        <v>-0.42359999999999998</v>
      </c>
      <c r="D4" s="2">
        <f>(B4-C4)^2</f>
        <v>0.11806095999999998</v>
      </c>
    </row>
    <row r="5" spans="1:4" x14ac:dyDescent="0.2">
      <c r="A5" s="2">
        <v>10</v>
      </c>
      <c r="B5" s="2">
        <v>-0.43</v>
      </c>
      <c r="C5" s="2">
        <f t="shared" ref="C5:C16" si="0">0.0094*A5-0.4236</f>
        <v>-0.3296</v>
      </c>
      <c r="D5" s="2">
        <f t="shared" ref="D5:D16" si="1">(B5-C5)^2</f>
        <v>1.0080159999999998E-2</v>
      </c>
    </row>
    <row r="6" spans="1:4" x14ac:dyDescent="0.2">
      <c r="A6" s="2">
        <v>20</v>
      </c>
      <c r="B6" s="2">
        <v>-0.27</v>
      </c>
      <c r="C6" s="2">
        <f t="shared" si="0"/>
        <v>-0.23559999999999998</v>
      </c>
      <c r="D6" s="2">
        <f t="shared" si="1"/>
        <v>1.1833600000000029E-3</v>
      </c>
    </row>
    <row r="7" spans="1:4" x14ac:dyDescent="0.2">
      <c r="A7" s="2">
        <v>30</v>
      </c>
      <c r="B7" s="2">
        <v>-0.15</v>
      </c>
      <c r="C7" s="2">
        <f t="shared" si="0"/>
        <v>-0.14159999999999995</v>
      </c>
      <c r="D7" s="2">
        <f t="shared" si="1"/>
        <v>7.0560000000000775E-5</v>
      </c>
    </row>
    <row r="8" spans="1:4" x14ac:dyDescent="0.2">
      <c r="A8" s="2">
        <v>40</v>
      </c>
      <c r="B8" s="2">
        <v>0.13</v>
      </c>
      <c r="C8" s="2">
        <f t="shared" si="0"/>
        <v>-4.7599999999999976E-2</v>
      </c>
      <c r="D8" s="2">
        <f t="shared" si="1"/>
        <v>3.1541759999999995E-2</v>
      </c>
    </row>
    <row r="9" spans="1:4" x14ac:dyDescent="0.2">
      <c r="A9" s="2">
        <v>50</v>
      </c>
      <c r="B9" s="2">
        <v>-0.17</v>
      </c>
      <c r="C9" s="2">
        <f t="shared" si="0"/>
        <v>4.6400000000000052E-2</v>
      </c>
      <c r="D9" s="2">
        <f t="shared" si="1"/>
        <v>4.6828960000000031E-2</v>
      </c>
    </row>
    <row r="10" spans="1:4" x14ac:dyDescent="0.2">
      <c r="A10" s="2">
        <v>60</v>
      </c>
      <c r="B10" s="2">
        <v>-0.03</v>
      </c>
      <c r="C10" s="2">
        <f t="shared" si="0"/>
        <v>0.14040000000000008</v>
      </c>
      <c r="D10" s="2">
        <f t="shared" si="1"/>
        <v>2.9036160000000026E-2</v>
      </c>
    </row>
    <row r="11" spans="1:4" x14ac:dyDescent="0.2">
      <c r="A11" s="2">
        <v>70</v>
      </c>
      <c r="B11" s="2">
        <v>0.03</v>
      </c>
      <c r="C11" s="2">
        <f t="shared" si="0"/>
        <v>0.23440000000000005</v>
      </c>
      <c r="D11" s="2">
        <f t="shared" si="1"/>
        <v>4.1779360000000022E-2</v>
      </c>
    </row>
    <row r="12" spans="1:4" x14ac:dyDescent="0.2">
      <c r="A12" s="2">
        <v>80</v>
      </c>
      <c r="B12" s="2">
        <v>0.26</v>
      </c>
      <c r="C12" s="2">
        <f t="shared" si="0"/>
        <v>0.32840000000000003</v>
      </c>
      <c r="D12" s="2">
        <f t="shared" si="1"/>
        <v>4.6785600000000026E-3</v>
      </c>
    </row>
    <row r="13" spans="1:4" x14ac:dyDescent="0.2">
      <c r="A13" s="2">
        <v>90</v>
      </c>
      <c r="B13" s="2">
        <v>0.45</v>
      </c>
      <c r="C13" s="2">
        <f t="shared" si="0"/>
        <v>0.42240000000000011</v>
      </c>
      <c r="D13" s="2">
        <f t="shared" si="1"/>
        <v>7.6175999999999458E-4</v>
      </c>
    </row>
    <row r="14" spans="1:4" x14ac:dyDescent="0.2">
      <c r="A14" s="2">
        <v>100</v>
      </c>
      <c r="B14" s="2">
        <v>0.39</v>
      </c>
      <c r="C14" s="2">
        <f t="shared" si="0"/>
        <v>0.51640000000000008</v>
      </c>
      <c r="D14" s="2">
        <f t="shared" si="1"/>
        <v>1.5976960000000016E-2</v>
      </c>
    </row>
    <row r="15" spans="1:4" x14ac:dyDescent="0.2">
      <c r="A15" s="2">
        <v>110</v>
      </c>
      <c r="B15" s="2">
        <v>0.72</v>
      </c>
      <c r="C15" s="2">
        <f t="shared" si="0"/>
        <v>0.61040000000000005</v>
      </c>
      <c r="D15" s="2">
        <f t="shared" si="1"/>
        <v>1.2012159999999982E-2</v>
      </c>
    </row>
    <row r="16" spans="1:4" x14ac:dyDescent="0.2">
      <c r="A16" s="2">
        <v>120</v>
      </c>
      <c r="B16" s="2">
        <v>1.01</v>
      </c>
      <c r="C16" s="2">
        <f t="shared" si="0"/>
        <v>0.70440000000000014</v>
      </c>
      <c r="D16" s="2">
        <f t="shared" si="1"/>
        <v>9.3391359999999923E-2</v>
      </c>
    </row>
    <row r="17" spans="2:5" x14ac:dyDescent="0.2">
      <c r="B17" s="2"/>
      <c r="D17" s="7">
        <f>SUM(D4:D16)</f>
        <v>0.40540208</v>
      </c>
      <c r="E17" s="2" t="s">
        <v>4</v>
      </c>
    </row>
    <row r="18" spans="2:5" x14ac:dyDescent="0.2">
      <c r="B18" s="2"/>
    </row>
    <row r="19" spans="2:5" x14ac:dyDescent="0.2">
      <c r="B19" s="2"/>
    </row>
    <row r="20" spans="2:5" x14ac:dyDescent="0.2">
      <c r="B20" s="2"/>
    </row>
    <row r="21" spans="2:5" x14ac:dyDescent="0.2">
      <c r="B21" s="2"/>
    </row>
    <row r="22" spans="2:5" x14ac:dyDescent="0.2">
      <c r="B22" s="2"/>
    </row>
    <row r="23" spans="2:5" x14ac:dyDescent="0.2">
      <c r="B23" s="2"/>
    </row>
    <row r="24" spans="2:5" x14ac:dyDescent="0.2">
      <c r="B24" s="2"/>
      <c r="D24" s="5"/>
    </row>
    <row r="25" spans="2:5" x14ac:dyDescent="0.2">
      <c r="B25" s="2"/>
    </row>
    <row r="26" spans="2:5" x14ac:dyDescent="0.2">
      <c r="B26" s="2"/>
    </row>
    <row r="27" spans="2:5" x14ac:dyDescent="0.2">
      <c r="B27" s="2"/>
    </row>
    <row r="28" spans="2:5" x14ac:dyDescent="0.2">
      <c r="B28" s="2"/>
    </row>
    <row r="29" spans="2:5" x14ac:dyDescent="0.2">
      <c r="B29" s="2"/>
    </row>
    <row r="30" spans="2:5" x14ac:dyDescent="0.2">
      <c r="B30" s="2"/>
    </row>
    <row r="31" spans="2:5" x14ac:dyDescent="0.2">
      <c r="B31" s="2"/>
    </row>
    <row r="32" spans="2:5" x14ac:dyDescent="0.2">
      <c r="B32" s="2"/>
    </row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14999847407452621"/>
  </sheetPr>
  <dimension ref="A1:J140"/>
  <sheetViews>
    <sheetView tabSelected="1" topLeftCell="A2" workbookViewId="0">
      <selection activeCell="J32" sqref="J32"/>
    </sheetView>
  </sheetViews>
  <sheetFormatPr baseColWidth="10" defaultColWidth="8.83203125" defaultRowHeight="16" x14ac:dyDescent="0.2"/>
  <cols>
    <col min="1" max="1" width="8.83203125" style="2"/>
    <col min="2" max="2" width="10.1640625" style="6" customWidth="1"/>
    <col min="3" max="3" width="15" style="2" customWidth="1"/>
    <col min="4" max="4" width="17.6640625" style="2" customWidth="1"/>
    <col min="5" max="9" width="8.83203125" style="2"/>
    <col min="10" max="10" width="11.1640625" style="2" bestFit="1" customWidth="1"/>
    <col min="11" max="16384" width="8.83203125" style="2"/>
  </cols>
  <sheetData>
    <row r="1" spans="1:4" x14ac:dyDescent="0.2">
      <c r="A1" s="1" t="s">
        <v>5</v>
      </c>
      <c r="B1" s="2"/>
    </row>
    <row r="2" spans="1:4" x14ac:dyDescent="0.2">
      <c r="A2" s="1"/>
      <c r="B2" s="2"/>
    </row>
    <row r="3" spans="1:4" x14ac:dyDescent="0.2">
      <c r="A3" s="3" t="s">
        <v>0</v>
      </c>
      <c r="B3" s="3" t="s">
        <v>1</v>
      </c>
      <c r="C3" s="3" t="s">
        <v>2</v>
      </c>
      <c r="D3" s="4" t="s">
        <v>3</v>
      </c>
    </row>
    <row r="4" spans="1:4" x14ac:dyDescent="0.2">
      <c r="A4" s="2">
        <v>0</v>
      </c>
      <c r="B4" s="2">
        <v>-0.08</v>
      </c>
      <c r="C4" s="2">
        <f>0.0001*A4^2-0.003*A4-0.1958</f>
        <v>-0.1958</v>
      </c>
      <c r="D4" s="2">
        <f>(B4-C4)^2</f>
        <v>1.340964E-2</v>
      </c>
    </row>
    <row r="5" spans="1:4" x14ac:dyDescent="0.2">
      <c r="A5" s="2">
        <v>10</v>
      </c>
      <c r="B5" s="2">
        <v>-0.43</v>
      </c>
      <c r="C5" s="2">
        <f t="shared" ref="C5:C16" si="0">0.0001*A5^2-0.003*A5-0.1958</f>
        <v>-0.21579999999999999</v>
      </c>
      <c r="D5" s="2">
        <f t="shared" ref="D5:D16" si="1">(B5-C5)^2</f>
        <v>4.5881640000000001E-2</v>
      </c>
    </row>
    <row r="6" spans="1:4" x14ac:dyDescent="0.2">
      <c r="A6" s="2">
        <v>20</v>
      </c>
      <c r="B6" s="2">
        <v>-0.27</v>
      </c>
      <c r="C6" s="2">
        <f t="shared" si="0"/>
        <v>-0.21579999999999999</v>
      </c>
      <c r="D6" s="2">
        <f t="shared" si="1"/>
        <v>2.9376400000000026E-3</v>
      </c>
    </row>
    <row r="7" spans="1:4" x14ac:dyDescent="0.2">
      <c r="A7" s="2">
        <v>30</v>
      </c>
      <c r="B7" s="2">
        <v>-0.15</v>
      </c>
      <c r="C7" s="2">
        <f t="shared" si="0"/>
        <v>-0.19579999999999997</v>
      </c>
      <c r="D7" s="2">
        <f t="shared" si="1"/>
        <v>2.0976399999999983E-3</v>
      </c>
    </row>
    <row r="8" spans="1:4" x14ac:dyDescent="0.2">
      <c r="A8" s="2">
        <v>40</v>
      </c>
      <c r="B8" s="2">
        <v>0.13</v>
      </c>
      <c r="C8" s="2">
        <f t="shared" si="0"/>
        <v>-0.15579999999999999</v>
      </c>
      <c r="D8" s="2">
        <f t="shared" si="1"/>
        <v>8.168164E-2</v>
      </c>
    </row>
    <row r="9" spans="1:4" x14ac:dyDescent="0.2">
      <c r="A9" s="2">
        <v>50</v>
      </c>
      <c r="B9" s="2">
        <v>-0.17</v>
      </c>
      <c r="C9" s="2">
        <f t="shared" si="0"/>
        <v>-9.5799999999999996E-2</v>
      </c>
      <c r="D9" s="2">
        <f t="shared" si="1"/>
        <v>5.5056400000000026E-3</v>
      </c>
    </row>
    <row r="10" spans="1:4" x14ac:dyDescent="0.2">
      <c r="A10" s="2">
        <v>60</v>
      </c>
      <c r="B10" s="2">
        <v>-0.03</v>
      </c>
      <c r="C10" s="2">
        <f t="shared" si="0"/>
        <v>-1.5799999999999953E-2</v>
      </c>
      <c r="D10" s="2">
        <f t="shared" si="1"/>
        <v>2.016400000000013E-4</v>
      </c>
    </row>
    <row r="11" spans="1:4" x14ac:dyDescent="0.2">
      <c r="A11" s="2">
        <v>70</v>
      </c>
      <c r="B11" s="2">
        <v>0.03</v>
      </c>
      <c r="C11" s="2">
        <f t="shared" si="0"/>
        <v>8.4200000000000025E-2</v>
      </c>
      <c r="D11" s="2">
        <f t="shared" si="1"/>
        <v>2.9376400000000026E-3</v>
      </c>
    </row>
    <row r="12" spans="1:4" x14ac:dyDescent="0.2">
      <c r="A12" s="2">
        <v>80</v>
      </c>
      <c r="B12" s="2">
        <v>0.26</v>
      </c>
      <c r="C12" s="2">
        <f t="shared" si="0"/>
        <v>0.20420000000000002</v>
      </c>
      <c r="D12" s="2">
        <f t="shared" si="1"/>
        <v>3.1136399999999987E-3</v>
      </c>
    </row>
    <row r="13" spans="1:4" x14ac:dyDescent="0.2">
      <c r="A13" s="2">
        <v>90</v>
      </c>
      <c r="B13" s="2">
        <v>0.45</v>
      </c>
      <c r="C13" s="2">
        <f t="shared" si="0"/>
        <v>0.34420000000000006</v>
      </c>
      <c r="D13" s="2">
        <f t="shared" si="1"/>
        <v>1.1193639999999989E-2</v>
      </c>
    </row>
    <row r="14" spans="1:4" x14ac:dyDescent="0.2">
      <c r="A14" s="2">
        <v>100</v>
      </c>
      <c r="B14" s="2">
        <v>0.39</v>
      </c>
      <c r="C14" s="2">
        <f t="shared" si="0"/>
        <v>0.50419999999999998</v>
      </c>
      <c r="D14" s="2">
        <f t="shared" si="1"/>
        <v>1.3041639999999993E-2</v>
      </c>
    </row>
    <row r="15" spans="1:4" x14ac:dyDescent="0.2">
      <c r="A15" s="2">
        <v>110</v>
      </c>
      <c r="B15" s="2">
        <v>0.72</v>
      </c>
      <c r="C15" s="2">
        <f t="shared" si="0"/>
        <v>0.68419999999999992</v>
      </c>
      <c r="D15" s="2">
        <f t="shared" si="1"/>
        <v>1.2816400000000038E-3</v>
      </c>
    </row>
    <row r="16" spans="1:4" x14ac:dyDescent="0.2">
      <c r="A16" s="2">
        <v>120</v>
      </c>
      <c r="B16" s="2">
        <v>1.01</v>
      </c>
      <c r="C16" s="2">
        <f t="shared" si="0"/>
        <v>0.8842000000000001</v>
      </c>
      <c r="D16" s="2">
        <f t="shared" si="1"/>
        <v>1.5825639999999978E-2</v>
      </c>
    </row>
    <row r="17" spans="2:10" x14ac:dyDescent="0.2">
      <c r="B17" s="2"/>
      <c r="D17" s="7">
        <f>SUM(D4:D16)</f>
        <v>0.19910931999999995</v>
      </c>
      <c r="E17" s="2" t="s">
        <v>6</v>
      </c>
    </row>
    <row r="18" spans="2:10" x14ac:dyDescent="0.2">
      <c r="B18" s="2"/>
    </row>
    <row r="19" spans="2:10" x14ac:dyDescent="0.2">
      <c r="B19" s="2"/>
    </row>
    <row r="20" spans="2:10" x14ac:dyDescent="0.2">
      <c r="B20" s="2"/>
    </row>
    <row r="21" spans="2:10" x14ac:dyDescent="0.2">
      <c r="B21" s="2"/>
    </row>
    <row r="22" spans="2:10" x14ac:dyDescent="0.2">
      <c r="B22" s="2"/>
    </row>
    <row r="23" spans="2:10" x14ac:dyDescent="0.2">
      <c r="B23" s="2"/>
    </row>
    <row r="24" spans="2:10" x14ac:dyDescent="0.2">
      <c r="B24" s="2"/>
      <c r="D24" s="5"/>
    </row>
    <row r="25" spans="2:10" x14ac:dyDescent="0.2">
      <c r="B25" s="2"/>
    </row>
    <row r="26" spans="2:10" x14ac:dyDescent="0.2">
      <c r="B26" s="2"/>
      <c r="D26" s="2">
        <f>0.405/0.199</f>
        <v>2.0351758793969847</v>
      </c>
    </row>
    <row r="27" spans="2:10" x14ac:dyDescent="0.2">
      <c r="B27" s="2"/>
      <c r="E27" s="5"/>
      <c r="J27" s="2">
        <f>0.003/(2*(0.0001))</f>
        <v>15</v>
      </c>
    </row>
    <row r="28" spans="2:10" x14ac:dyDescent="0.2">
      <c r="B28" s="2"/>
      <c r="J28" s="2">
        <f>0.0001*(15)^2-0.003*(15)-0.1958</f>
        <v>-0.21829999999999999</v>
      </c>
    </row>
    <row r="29" spans="2:10" x14ac:dyDescent="0.2">
      <c r="B29" s="2"/>
    </row>
    <row r="30" spans="2:10" x14ac:dyDescent="0.2">
      <c r="B30" s="2"/>
      <c r="J30" s="2">
        <f>2024-1900</f>
        <v>124</v>
      </c>
    </row>
    <row r="31" spans="2:10" x14ac:dyDescent="0.2">
      <c r="B31" s="2"/>
      <c r="J31" s="2">
        <f>0.0001*(124)^2-0.003*(124)-0.1958</f>
        <v>0.9698</v>
      </c>
    </row>
    <row r="32" spans="2:10" x14ac:dyDescent="0.2">
      <c r="B32" s="2"/>
    </row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GlobalTempLinear</vt:lpstr>
      <vt:lpstr>GlobalTempQuad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Bishop</dc:creator>
  <cp:lastModifiedBy>Kaitlyn Hughes</cp:lastModifiedBy>
  <dcterms:created xsi:type="dcterms:W3CDTF">2023-07-17T13:18:54Z</dcterms:created>
  <dcterms:modified xsi:type="dcterms:W3CDTF">2025-02-09T03:09:55Z</dcterms:modified>
</cp:coreProperties>
</file>