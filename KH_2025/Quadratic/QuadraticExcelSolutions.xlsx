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tlynhughes/Desktop/Bryant/Math 110 2025/Quadratic/"/>
    </mc:Choice>
  </mc:AlternateContent>
  <xr:revisionPtr revIDLastSave="0" documentId="13_ncr:1_{FC771B98-9211-AE42-942E-B3998F9394F9}" xr6:coauthVersionLast="47" xr6:coauthVersionMax="47" xr10:uidLastSave="{00000000-0000-0000-0000-000000000000}"/>
  <bookViews>
    <workbookView xWindow="3460" yWindow="2820" windowWidth="18220" windowHeight="16260" activeTab="2" xr2:uid="{90353CA9-6C2D-B747-AF94-F94B303A1756}"/>
  </bookViews>
  <sheets>
    <sheet name="Quadratic Trend" sheetId="1" r:id="rId1"/>
    <sheet name="Quadratic or Linear " sheetId="2" r:id="rId2"/>
    <sheet name="Practice 1" sheetId="3" r:id="rId3"/>
    <sheet name="Practice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I19" i="3"/>
  <c r="I18" i="3"/>
  <c r="F18" i="3"/>
  <c r="D13" i="3"/>
  <c r="D3" i="3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C2" i="4"/>
  <c r="F12" i="4"/>
  <c r="F3" i="4"/>
  <c r="F4" i="4"/>
  <c r="F5" i="4"/>
  <c r="F6" i="4"/>
  <c r="F7" i="4"/>
  <c r="F8" i="4"/>
  <c r="F9" i="4"/>
  <c r="F10" i="4"/>
  <c r="F2" i="4"/>
  <c r="E3" i="4"/>
  <c r="E4" i="4"/>
  <c r="E5" i="4"/>
  <c r="E6" i="4"/>
  <c r="E7" i="4"/>
  <c r="E8" i="4"/>
  <c r="E9" i="4"/>
  <c r="E10" i="4"/>
  <c r="E2" i="4"/>
  <c r="D12" i="4"/>
  <c r="D3" i="4"/>
  <c r="D4" i="4"/>
  <c r="D5" i="4"/>
  <c r="D6" i="4"/>
  <c r="D7" i="4"/>
  <c r="D8" i="4"/>
  <c r="D9" i="4"/>
  <c r="D10" i="4"/>
  <c r="D2" i="4"/>
  <c r="C3" i="4"/>
  <c r="C4" i="4"/>
  <c r="C5" i="4"/>
  <c r="C6" i="4"/>
  <c r="C7" i="4"/>
  <c r="C8" i="4"/>
  <c r="C9" i="4"/>
  <c r="C10" i="4"/>
  <c r="G24" i="1"/>
  <c r="G22" i="1"/>
  <c r="D13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E31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5" i="2"/>
  <c r="E6" i="2"/>
  <c r="E7" i="2"/>
  <c r="E8" i="2"/>
  <c r="E9" i="2"/>
  <c r="E10" i="2"/>
  <c r="E11" i="2"/>
  <c r="E12" i="2"/>
  <c r="E13" i="2"/>
  <c r="E14" i="2"/>
  <c r="E15" i="2"/>
  <c r="E16" i="2"/>
  <c r="E4" i="2"/>
  <c r="D20" i="2"/>
  <c r="D21" i="2"/>
  <c r="D22" i="2"/>
  <c r="D23" i="2"/>
  <c r="D24" i="2"/>
  <c r="D25" i="2"/>
  <c r="D26" i="2"/>
  <c r="D27" i="2"/>
  <c r="D28" i="2"/>
  <c r="D29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4" i="2"/>
</calcChain>
</file>

<file path=xl/sharedStrings.xml><?xml version="1.0" encoding="utf-8"?>
<sst xmlns="http://schemas.openxmlformats.org/spreadsheetml/2006/main" count="23" uniqueCount="13">
  <si>
    <t>Year</t>
  </si>
  <si>
    <t>Net income (millions of dollars) for Starbucks</t>
  </si>
  <si>
    <t>Average cost (tuition and fees) for private 4 year college</t>
  </si>
  <si>
    <t>Average Starting Salary for College Graduates</t>
  </si>
  <si>
    <t xml:space="preserve">Gasoline consumption in the United States has been steadily increasing. Consumption data from 1994 to 2019 is shown in the table </t>
  </si>
  <si>
    <t>Consumption (billions of gallons)</t>
  </si>
  <si>
    <t>Estimated y</t>
  </si>
  <si>
    <t>Residual squared</t>
  </si>
  <si>
    <t xml:space="preserve">total error: </t>
  </si>
  <si>
    <t xml:space="preserve">residual squared </t>
  </si>
  <si>
    <t>total error</t>
  </si>
  <si>
    <t>estimated y</t>
  </si>
  <si>
    <t>residual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</si>
</sst>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>
    <font>
      <sz val="12"/>
      <color theme="1"/>
      <name val="Aptos Narrow"/>
      <family val="2"/>
      <scheme val="minor"/>
    </font>
    <font>
      <sz val="10"/>
      <name val="MS Sans Serif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8"/>
      <color rgb="FF000000"/>
      <name val="Tahoma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6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4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4" fillId="4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2" borderId="3" xfId="0" applyFont="1" applyFill="1" applyBorder="1" applyAlignment="1">
      <alignment horizontal="center" wrapText="1"/>
    </xf>
    <xf numFmtId="44" fontId="9" fillId="2" borderId="1" xfId="2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B9A30FA4-3746-0646-8F93-F95252AB5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'Quadratic Trend'!$B$1</c:f>
              <c:strCache>
                <c:ptCount val="1"/>
                <c:pt idx="0">
                  <c:v>Average Starting Salary for College Graduates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4307480314960633"/>
                  <c:y val="5.6268955963837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'Quadratic Trend'!$A$2:$A$11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'Quadratic Trend'!$B$2:$B$11</c:f>
              <c:numCache>
                <c:formatCode>General</c:formatCode>
                <c:ptCount val="10"/>
                <c:pt idx="0">
                  <c:v>9951</c:v>
                </c:pt>
                <c:pt idx="1">
                  <c:v>12095</c:v>
                </c:pt>
                <c:pt idx="2">
                  <c:v>18553</c:v>
                </c:pt>
                <c:pt idx="3">
                  <c:v>24289</c:v>
                </c:pt>
                <c:pt idx="4">
                  <c:v>27526</c:v>
                </c:pt>
                <c:pt idx="5">
                  <c:v>29276</c:v>
                </c:pt>
                <c:pt idx="6">
                  <c:v>39824</c:v>
                </c:pt>
                <c:pt idx="7">
                  <c:v>42081</c:v>
                </c:pt>
                <c:pt idx="8">
                  <c:v>48288</c:v>
                </c:pt>
                <c:pt idx="9">
                  <c:v>50219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C-DC40-AD97-F0123A481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51439"/>
        <c:axId val="1184109967"/>
      </c:scatterChart>
      <c:valAx>
        <c:axId val="120045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09967"/>
        <c:crosses val="autoZero"/>
        <c:crossBetween val="midCat"/>
      </c:valAx>
      <c:valAx>
        <c:axId val="118410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5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'Quadratic or Linear '!$C$3</c:f>
              <c:strCache>
                <c:ptCount val="1"/>
                <c:pt idx="0">
                  <c:v> Consumption (billions of gallons)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5.984317585301837E-2"/>
                  <c:y val="0.21254629629629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'Quadratic or Linear '!$B$4:$B$29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'Quadratic or Linear '!$C$4:$C$29</c:f>
              <c:numCache>
                <c:formatCode>General</c:formatCode>
                <c:ptCount val="26"/>
                <c:pt idx="0">
                  <c:v>113</c:v>
                </c:pt>
                <c:pt idx="1">
                  <c:v>116</c:v>
                </c:pt>
                <c:pt idx="2">
                  <c:v>118</c:v>
                </c:pt>
                <c:pt idx="3">
                  <c:v>119</c:v>
                </c:pt>
                <c:pt idx="4">
                  <c:v>123</c:v>
                </c:pt>
                <c:pt idx="5">
                  <c:v>125</c:v>
                </c:pt>
                <c:pt idx="6">
                  <c:v>126</c:v>
                </c:pt>
                <c:pt idx="7">
                  <c:v>128</c:v>
                </c:pt>
                <c:pt idx="8">
                  <c:v>131</c:v>
                </c:pt>
                <c:pt idx="9">
                  <c:v>133</c:v>
                </c:pt>
                <c:pt idx="10">
                  <c:v>136</c:v>
                </c:pt>
                <c:pt idx="11">
                  <c:v>140</c:v>
                </c:pt>
                <c:pt idx="12">
                  <c:v>140</c:v>
                </c:pt>
                <c:pt idx="13">
                  <c:v>140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135</c:v>
                </c:pt>
                <c:pt idx="18">
                  <c:v>135</c:v>
                </c:pt>
                <c:pt idx="19">
                  <c:v>135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145</c:v>
                </c:pt>
                <c:pt idx="24">
                  <c:v>145</c:v>
                </c:pt>
                <c:pt idx="25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2-4648-8083-17686600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32431"/>
        <c:axId val="1524505919"/>
      </c:scatterChart>
      <c:valAx>
        <c:axId val="112263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05919"/>
        <c:crosses val="autoZero"/>
        <c:crossBetween val="midCat"/>
      </c:valAx>
      <c:valAx>
        <c:axId val="15245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3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'Practice 1'!$B$1</c:f>
              <c:strCache>
                <c:ptCount val="1"/>
                <c:pt idx="0">
                  <c:v>Average cost (tuition and fees) for private 4 year college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7.5005468066491693E-2"/>
                  <c:y val="4.86205890930300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'Practice 1'!$A$2:$A$11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'Practice 1'!$B$2:$B$11</c:f>
              <c:numCache>
                <c:formatCode>General</c:formatCode>
                <c:ptCount val="10"/>
                <c:pt idx="0">
                  <c:v>3672</c:v>
                </c:pt>
                <c:pt idx="1">
                  <c:v>5470</c:v>
                </c:pt>
                <c:pt idx="2">
                  <c:v>8885</c:v>
                </c:pt>
                <c:pt idx="3" formatCode="#,##0">
                  <c:v>12910</c:v>
                </c:pt>
                <c:pt idx="4">
                  <c:v>17208</c:v>
                </c:pt>
                <c:pt idx="5">
                  <c:v>21373</c:v>
                </c:pt>
                <c:pt idx="6">
                  <c:v>26908</c:v>
                </c:pt>
                <c:pt idx="7">
                  <c:v>32026</c:v>
                </c:pt>
                <c:pt idx="8">
                  <c:v>34031</c:v>
                </c:pt>
                <c:pt idx="9">
                  <c:v>42961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B-DE43-BF21-F565EB845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063359"/>
        <c:axId val="1310150223"/>
      </c:scatterChart>
      <c:valAx>
        <c:axId val="120006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50223"/>
        <c:crosses val="autoZero"/>
        <c:crossBetween val="midCat"/>
      </c:valAx>
      <c:valAx>
        <c:axId val="131015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6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'Practice 2'!$B$1</c:f>
              <c:strCache>
                <c:ptCount val="1"/>
                <c:pt idx="0">
                  <c:v>Net income (millions of dollars) for Starbucks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5.166491688538933E-2"/>
                  <c:y val="0.162269612131816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'Practice 2'!$A$2:$A$10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'Practice 2'!$B$2:$B$10</c:f>
              <c:numCache>
                <c:formatCode>General</c:formatCode>
                <c:ptCount val="9"/>
                <c:pt idx="0">
                  <c:v>2.0699999999999998</c:v>
                </c:pt>
                <c:pt idx="1">
                  <c:v>2.76</c:v>
                </c:pt>
                <c:pt idx="2">
                  <c:v>2.82</c:v>
                </c:pt>
                <c:pt idx="3">
                  <c:v>2.88</c:v>
                </c:pt>
                <c:pt idx="4">
                  <c:v>4.5199999999999996</c:v>
                </c:pt>
                <c:pt idx="5">
                  <c:v>3.9</c:v>
                </c:pt>
                <c:pt idx="6">
                  <c:v>0.92</c:v>
                </c:pt>
                <c:pt idx="7">
                  <c:v>4.2</c:v>
                </c:pt>
                <c:pt idx="8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6F-A940-A862-EA606DE7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373823"/>
        <c:axId val="1122071759"/>
      </c:scatterChart>
      <c:valAx>
        <c:axId val="13103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71759"/>
        <c:crosses val="autoZero"/>
        <c:crossBetween val="midCat"/>
      </c:valAx>
      <c:valAx>
        <c:axId val="11220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37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0</xdr:row>
      <xdr:rowOff>266700</xdr:rowOff>
    </xdr:from>
    <xdr:to>
      <xdr:col>17</xdr:col>
      <xdr:colOff>774700</xdr:colOff>
      <xdr:row>20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3E55C6-D4C0-93E8-BE43-3A9BBAAD5970}"/>
            </a:ext>
          </a:extLst>
        </xdr:cNvPr>
        <xdr:cNvSpPr txBox="1"/>
      </xdr:nvSpPr>
      <xdr:spPr>
        <a:xfrm>
          <a:off x="5867400" y="266700"/>
          <a:ext cx="10147300" cy="574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 the data so that </a:t>
          </a:r>
          <a:r>
            <a:rPr lang="en-US" sz="1800" b="0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= 0 represents 1970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 scatterplot for the data 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marR="0" lvl="0" indent="-22860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 a quadratic trendline on the scatterplot and display the equation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 baseline="0">
              <a:solidFill>
                <a:srgbClr val="FF0000"/>
              </a:solidFill>
            </a:rPr>
            <a:t>y = 0.2432x</a:t>
          </a:r>
          <a:r>
            <a:rPr lang="en-US" sz="1800" b="1" baseline="30000">
              <a:solidFill>
                <a:srgbClr val="FF0000"/>
              </a:solidFill>
            </a:rPr>
            <a:t>2</a:t>
          </a:r>
          <a:r>
            <a:rPr lang="en-US" sz="1800" b="1" baseline="0">
              <a:solidFill>
                <a:srgbClr val="FF0000"/>
              </a:solidFill>
            </a:rPr>
            <a:t> + 936.64x + 8962.5</a:t>
          </a:r>
          <a:endParaRPr lang="en-US" sz="1800" b="1">
            <a:solidFill>
              <a:srgbClr val="FF0000"/>
            </a:solidFill>
          </a:endParaRPr>
        </a:p>
        <a:p>
          <a:pPr marL="228600" indent="-228600">
            <a:buFont typeface="+mj-lt"/>
            <a:buAutoNum type="arabicPeriod"/>
          </a:pPr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estimated y values 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residual squared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values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total error </a:t>
          </a:r>
          <a:r>
            <a:rPr lang="en-US" sz="18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26148419.8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y-intercept. Interpret its meaning.</a:t>
          </a:r>
          <a:r>
            <a:rPr lang="en-US" sz="18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800" b="1" i="0" u="none" strike="noStrike" baseline="0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They y-intercept is 8962.5. This means that in 1970, the startign slaary was $8962.50. This is lower than the actual starting salary in 1970.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vertex. Interpret its meaning.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(-1925.6579, -892861.61).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 the year 55, the average starting salary for college graduates reached a minimum of -$892861.61. This does not make any sense. You cannot have a negative starting salary and in the year 55 there probably were not any colleges.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 the trendline to estimate the average starting salary in 2013. The actual average was $45,324.  Is the estimate accurate?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Is this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interpolation or extrapolation?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$49,687.70. It is above the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actual average. This is interpolation because 2013 is within the years where data was gathered.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 the trendline to estimate the average starting salary for graduates this past year (2024). The 2024 avereage salary was $68,516. How accurate is the trendline prediction?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Is this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interpolation or extrapolation?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$60,250.23. It is below the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actual prediction. This is extrapolation because 2024 is outside the the years where data was gathered.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565150</xdr:colOff>
      <xdr:row>18</xdr:row>
      <xdr:rowOff>63500</xdr:rowOff>
    </xdr:from>
    <xdr:to>
      <xdr:col>4</xdr:col>
      <xdr:colOff>831850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B09C7D-D447-B318-E432-AC21C46D6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749300</xdr:colOff>
      <xdr:row>2</xdr:row>
      <xdr:rowOff>368300</xdr:rowOff>
    </xdr:from>
    <xdr:to>
      <xdr:col>15</xdr:col>
      <xdr:colOff>342900</xdr:colOff>
      <xdr:row>16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543A90-64AA-AE4C-AC9C-40CA5C152094}"/>
            </a:ext>
          </a:extLst>
        </xdr:cNvPr>
        <xdr:cNvSpPr txBox="1"/>
      </xdr:nvSpPr>
      <xdr:spPr>
        <a:xfrm>
          <a:off x="8724900" y="965200"/>
          <a:ext cx="6197600" cy="434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data so </a:t>
          </a:r>
          <a:r>
            <a:rPr lang="en-US" sz="2000" b="0" i="1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=0 represents 1994.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 scatterplot for the data 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 a quadratic trendline on the scatterplot and display the equation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 = -0.0471x^2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+ 2.3208x + 114.31</a:t>
          </a:r>
          <a:endParaRPr lang="en-US" sz="20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estimated y values 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residual squared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values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total error </a:t>
          </a:r>
          <a:r>
            <a:rPr lang="en-US" sz="20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226.78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Recall that we looked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at this data in our linear Excel assigment. The total error for the linear trendline was 372.3144. 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Which better fits the data: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linear trendline or the quadratic trendline?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Explain why.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quadratic trendline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is better because it has less error. </a:t>
          </a:r>
          <a:endParaRPr lang="en-US" sz="20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133350</xdr:colOff>
      <xdr:row>17</xdr:row>
      <xdr:rowOff>152400</xdr:rowOff>
    </xdr:from>
    <xdr:to>
      <xdr:col>10</xdr:col>
      <xdr:colOff>577850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8041DF-4D82-1054-B312-0CB7624B4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0</xdr:row>
      <xdr:rowOff>457200</xdr:rowOff>
    </xdr:from>
    <xdr:to>
      <xdr:col>18</xdr:col>
      <xdr:colOff>812800</xdr:colOff>
      <xdr:row>14</xdr:row>
      <xdr:rowOff>241300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FA527E-90A7-8442-9035-DD8260973968}"/>
            </a:ext>
          </a:extLst>
        </xdr:cNvPr>
        <xdr:cNvSpPr txBox="1"/>
      </xdr:nvSpPr>
      <xdr:spPr>
        <a:xfrm>
          <a:off x="6578600" y="457200"/>
          <a:ext cx="11303000" cy="504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 the data so that 1975 is </a:t>
          </a:r>
          <a:r>
            <a:rPr lang="en-US" sz="18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= 0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 scatterplot for the data  </a:t>
          </a:r>
        </a:p>
        <a:p>
          <a:pPr marL="228600" marR="0" lvl="0" indent="-22860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 a quadratic trendline on the scatterplot and display the equation </a:t>
          </a:r>
          <a:r>
            <a:rPr lang="en-US" sz="1800" b="1" baseline="0">
              <a:solidFill>
                <a:srgbClr val="FF0000"/>
              </a:solidFill>
            </a:rPr>
            <a:t>y = 6.6835x</a:t>
          </a:r>
          <a:r>
            <a:rPr lang="en-US" sz="1800" b="1" baseline="30000">
              <a:solidFill>
                <a:srgbClr val="FF0000"/>
              </a:solidFill>
            </a:rPr>
            <a:t>2</a:t>
          </a:r>
          <a:r>
            <a:rPr lang="en-US" sz="1800" b="1" baseline="0">
              <a:solidFill>
                <a:srgbClr val="FF0000"/>
              </a:solidFill>
            </a:rPr>
            <a:t> + 566.38x + 3038.8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estimated y values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residual squared</a:t>
          </a:r>
          <a:r>
            <a:rPr lang="en-US" sz="18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values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total error </a:t>
          </a:r>
          <a:r>
            <a:rPr lang="en-US" sz="18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9067551.48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Find the y-intercept. Interpret its meaning</a:t>
          </a:r>
          <a:r>
            <a:rPr lang="en-US" sz="1800"/>
            <a:t> </a:t>
          </a:r>
          <a:r>
            <a:rPr lang="en-US" sz="1800" b="1">
              <a:solidFill>
                <a:srgbClr val="FF0000"/>
              </a:solidFill>
            </a:rPr>
            <a:t>The</a:t>
          </a:r>
          <a:r>
            <a:rPr lang="en-US" sz="1800" b="1" baseline="0">
              <a:solidFill>
                <a:srgbClr val="FF0000"/>
              </a:solidFill>
            </a:rPr>
            <a:t> y-intercept is 3038.8 which means in 1975, the average cost for a private four year college is $3038.80. This is lower than the actual average cost in 1975. </a:t>
          </a:r>
          <a:endParaRPr lang="en-US" sz="1800" b="1" i="0" u="none" strike="noStrike">
            <a:solidFill>
              <a:srgbClr val="FF0000"/>
            </a:solidFill>
            <a:effectLst/>
            <a:latin typeface="Times New Roman" panose="02020603050405020304" pitchFamily="18" charset="0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Find the vertex. Interpret its meaning. </a:t>
          </a:r>
          <a:r>
            <a:rPr lang="en-US" sz="1800"/>
            <a:t> </a:t>
          </a:r>
          <a:r>
            <a:rPr lang="en-US" sz="1800" b="1">
              <a:solidFill>
                <a:srgbClr val="FF0000"/>
              </a:solidFill>
            </a:rPr>
            <a:t>(-42.37, -8960.39).</a:t>
          </a:r>
          <a:r>
            <a:rPr lang="en-US" sz="1800" b="1" baseline="0">
              <a:solidFill>
                <a:srgbClr val="FF0000"/>
              </a:solidFill>
            </a:rPr>
            <a:t>  In 1933, the average cost for a private four year college reached its minimum of $-8960.39. This does not make sense becuase you cannot have a negative cost. </a:t>
          </a:r>
          <a:endParaRPr lang="en-US" sz="1800" b="1" i="0" u="none" strike="noStrike">
            <a:solidFill>
              <a:srgbClr val="FF0000"/>
            </a:solidFill>
            <a:effectLst/>
            <a:latin typeface="Times New Roman" panose="02020603050405020304" pitchFamily="18" charset="0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Use the trendline to estimate the average cost in 2019. The actual number is $36,880. Is the estimate accurate? </a:t>
          </a:r>
          <a:r>
            <a:rPr lang="en-US" sz="1800" b="0" i="0" u="none" strike="noStrike" baseline="0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Is this interpolation or extrapolation? </a:t>
          </a:r>
          <a:r>
            <a:rPr lang="en-US" sz="1800"/>
            <a:t> </a:t>
          </a:r>
          <a:r>
            <a:rPr lang="en-US" sz="1800" b="1">
              <a:solidFill>
                <a:srgbClr val="FF0000"/>
              </a:solidFill>
            </a:rPr>
            <a:t>$40898.78. It is higher than the</a:t>
          </a:r>
          <a:r>
            <a:rPr lang="en-US" sz="1800" b="1" baseline="0">
              <a:solidFill>
                <a:srgbClr val="FF0000"/>
              </a:solidFill>
            </a:rPr>
            <a:t> actual cost. This is interpolation because 2019 is within the years where data was gathered. </a:t>
          </a:r>
          <a:endParaRPr lang="en-US" sz="1800" b="1" i="0" u="none" strike="noStrike">
            <a:solidFill>
              <a:srgbClr val="FF0000"/>
            </a:solidFill>
            <a:effectLst/>
            <a:latin typeface="Times New Roman" panose="02020603050405020304" pitchFamily="18" charset="0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Use the trendline to estimate the average cost this school</a:t>
          </a:r>
          <a:r>
            <a:rPr lang="en-US" sz="1800" b="0" i="0" u="none" strike="noStrike" baseline="0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 </a:t>
          </a: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year (2024). Bryant's cost this year is $51,780. How does it compare to the average? </a:t>
          </a:r>
          <a:r>
            <a:rPr lang="en-US" sz="1800" b="0" i="0" u="none" strike="noStrike" baseline="0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Is this interpolation or extrapolation? </a:t>
          </a:r>
          <a:r>
            <a:rPr lang="en-US" sz="1800"/>
            <a:t> </a:t>
          </a:r>
          <a:r>
            <a:rPr lang="en-US" sz="1800" b="1">
              <a:solidFill>
                <a:srgbClr val="FF0000"/>
              </a:solidFill>
            </a:rPr>
            <a:t>$46,838.50. This</a:t>
          </a:r>
          <a:r>
            <a:rPr lang="en-US" sz="1800" b="1" baseline="0">
              <a:solidFill>
                <a:srgbClr val="FF0000"/>
              </a:solidFill>
            </a:rPr>
            <a:t> is lower than the cost of Bryant.  This is extrapolation because 2024 is not within the years where data was gathered.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215900</xdr:colOff>
      <xdr:row>14</xdr:row>
      <xdr:rowOff>139700</xdr:rowOff>
    </xdr:from>
    <xdr:to>
      <xdr:col>3</xdr:col>
      <xdr:colOff>571500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9E896-399F-CEB6-CC08-A033372D3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0</xdr:row>
      <xdr:rowOff>1041400</xdr:rowOff>
    </xdr:from>
    <xdr:to>
      <xdr:col>15</xdr:col>
      <xdr:colOff>533400</xdr:colOff>
      <xdr:row>9</xdr:row>
      <xdr:rowOff>279400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30817E-7510-BF42-E5C2-56CBE550F4D9}"/>
            </a:ext>
          </a:extLst>
        </xdr:cNvPr>
        <xdr:cNvSpPr txBox="1"/>
      </xdr:nvSpPr>
      <xdr:spPr>
        <a:xfrm>
          <a:off x="8343900" y="1041400"/>
          <a:ext cx="7048500" cy="292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data so </a:t>
          </a:r>
          <a:r>
            <a:rPr lang="en-US" sz="2000" b="0" i="1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=0 represents 2014.</a:t>
          </a: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linear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 = 0.1063x+2.6136</a:t>
          </a:r>
          <a:endParaRPr lang="en-US" sz="2000" b="1" i="0" u="none" strike="noStrike">
            <a:solidFill>
              <a:srgbClr val="FF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total error for the linear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9.24</a:t>
          </a:r>
          <a:endParaRPr lang="en-US" sz="2000" b="1" i="0" u="none" strike="noStrike">
            <a:solidFill>
              <a:srgbClr val="FF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marR="0" lvl="0" indent="-22860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quadratic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="1" baseline="0">
              <a:solidFill>
                <a:srgbClr val="FF0000"/>
              </a:solidFill>
            </a:rPr>
            <a:t>y = -0.0401x</a:t>
          </a:r>
          <a:r>
            <a:rPr lang="en-US" sz="2000" b="1" baseline="30000">
              <a:solidFill>
                <a:srgbClr val="FF0000"/>
              </a:solidFill>
            </a:rPr>
            <a:t>2</a:t>
          </a:r>
          <a:r>
            <a:rPr lang="en-US" sz="2000" b="1" baseline="0">
              <a:solidFill>
                <a:srgbClr val="FF0000"/>
              </a:solidFill>
            </a:rPr>
            <a:t> + 0.4272x + 2.2392</a:t>
          </a:r>
          <a:endParaRPr lang="en-US" sz="2000" b="1">
            <a:solidFill>
              <a:srgbClr val="FF0000"/>
            </a:solidFill>
          </a:endParaRPr>
        </a:p>
        <a:p>
          <a:pPr marL="228600" indent="-228600">
            <a:buFont typeface="+mj-lt"/>
            <a:buAutoNum type="arabicPeriod"/>
          </a:pP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total error for the quaratic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8.75</a:t>
          </a:r>
          <a:endParaRPr lang="en-US" sz="2000" b="1" i="0" u="none" strike="noStrike">
            <a:solidFill>
              <a:srgbClr val="FF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Which better fits the data - linear or quadratic?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Quadrati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 because it has less error</a:t>
          </a:r>
          <a:endParaRPr lang="en-US" sz="20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759280</xdr:colOff>
      <xdr:row>16</xdr:row>
      <xdr:rowOff>121557</xdr:rowOff>
    </xdr:from>
    <xdr:to>
      <xdr:col>5</xdr:col>
      <xdr:colOff>668565</xdr:colOff>
      <xdr:row>25</xdr:row>
      <xdr:rowOff>7257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7BDDB6-E2CA-C9D2-655C-22D2E35AA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28A5-981E-EF4B-8D73-17D105959E02}">
  <sheetPr>
    <tabColor theme="9"/>
  </sheetPr>
  <dimension ref="A1:G26"/>
  <sheetViews>
    <sheetView topLeftCell="B74" workbookViewId="0">
      <selection activeCell="G27" sqref="G27"/>
    </sheetView>
  </sheetViews>
  <sheetFormatPr baseColWidth="10" defaultRowHeight="16"/>
  <cols>
    <col min="2" max="2" width="24" customWidth="1"/>
    <col min="5" max="5" width="13.5" customWidth="1"/>
  </cols>
  <sheetData>
    <row r="1" spans="1:4" ht="87" customHeight="1">
      <c r="A1" s="9" t="s">
        <v>0</v>
      </c>
      <c r="B1" s="8" t="s">
        <v>3</v>
      </c>
      <c r="C1" t="s">
        <v>6</v>
      </c>
      <c r="D1" t="s">
        <v>9</v>
      </c>
    </row>
    <row r="2" spans="1:4" ht="23">
      <c r="A2" s="10">
        <v>0</v>
      </c>
      <c r="B2" s="3">
        <v>9951</v>
      </c>
      <c r="C2">
        <f>0.2432*A2^2+936.64*A2+8962.5</f>
        <v>8962.5</v>
      </c>
      <c r="D2">
        <f>(C2-B2)^2</f>
        <v>977132.25</v>
      </c>
    </row>
    <row r="3" spans="1:4" ht="23">
      <c r="A3" s="10">
        <v>5</v>
      </c>
      <c r="B3" s="3">
        <v>12095</v>
      </c>
      <c r="C3">
        <f t="shared" ref="C3:C11" si="0">0.2432*A3^2+936.64*A3+8962.5</f>
        <v>13651.779999999999</v>
      </c>
      <c r="D3">
        <f t="shared" ref="D3:D11" si="1">(C3-B3)^2</f>
        <v>2423563.9683999964</v>
      </c>
    </row>
    <row r="4" spans="1:4" ht="23">
      <c r="A4" s="10">
        <v>10</v>
      </c>
      <c r="B4" s="3">
        <v>18553</v>
      </c>
      <c r="C4">
        <f t="shared" si="0"/>
        <v>18353.22</v>
      </c>
      <c r="D4">
        <f t="shared" si="1"/>
        <v>39912.048399999534</v>
      </c>
    </row>
    <row r="5" spans="1:4" ht="23">
      <c r="A5" s="10">
        <v>15</v>
      </c>
      <c r="B5" s="3">
        <v>24289</v>
      </c>
      <c r="C5">
        <f t="shared" si="0"/>
        <v>23066.82</v>
      </c>
      <c r="D5">
        <f t="shared" si="1"/>
        <v>1493723.9524000008</v>
      </c>
    </row>
    <row r="6" spans="1:4" ht="23">
      <c r="A6" s="10">
        <v>20</v>
      </c>
      <c r="B6" s="3">
        <v>27526</v>
      </c>
      <c r="C6">
        <f t="shared" si="0"/>
        <v>27792.579999999998</v>
      </c>
      <c r="D6">
        <f t="shared" si="1"/>
        <v>71064.896399998994</v>
      </c>
    </row>
    <row r="7" spans="1:4" ht="23">
      <c r="A7" s="10">
        <v>25</v>
      </c>
      <c r="B7" s="3">
        <v>29276</v>
      </c>
      <c r="C7">
        <f t="shared" si="0"/>
        <v>32530.5</v>
      </c>
      <c r="D7">
        <f t="shared" si="1"/>
        <v>10591770.25</v>
      </c>
    </row>
    <row r="8" spans="1:4" ht="23">
      <c r="A8" s="10">
        <v>30</v>
      </c>
      <c r="B8" s="3">
        <v>39824</v>
      </c>
      <c r="C8">
        <f t="shared" si="0"/>
        <v>37280.58</v>
      </c>
      <c r="D8">
        <f t="shared" si="1"/>
        <v>6468985.296399991</v>
      </c>
    </row>
    <row r="9" spans="1:4" ht="23">
      <c r="A9" s="10">
        <v>35</v>
      </c>
      <c r="B9" s="3">
        <v>42081</v>
      </c>
      <c r="C9">
        <f t="shared" si="0"/>
        <v>42042.82</v>
      </c>
      <c r="D9">
        <f t="shared" si="1"/>
        <v>1457.7124000000222</v>
      </c>
    </row>
    <row r="10" spans="1:4" ht="23">
      <c r="A10" s="10">
        <v>40</v>
      </c>
      <c r="B10" s="3">
        <v>48288</v>
      </c>
      <c r="C10">
        <f t="shared" si="0"/>
        <v>46817.22</v>
      </c>
      <c r="D10">
        <f t="shared" si="1"/>
        <v>2163193.8083999967</v>
      </c>
    </row>
    <row r="11" spans="1:4" ht="23">
      <c r="A11" s="10">
        <v>45</v>
      </c>
      <c r="B11" s="3">
        <v>50219</v>
      </c>
      <c r="C11">
        <f t="shared" si="0"/>
        <v>51603.780000000006</v>
      </c>
      <c r="D11">
        <f t="shared" si="1"/>
        <v>1917615.6484000168</v>
      </c>
    </row>
    <row r="13" spans="1:4">
      <c r="C13" t="s">
        <v>10</v>
      </c>
      <c r="D13">
        <f>SUM(D2:D11)</f>
        <v>26148419.8312</v>
      </c>
    </row>
    <row r="22" spans="7:7">
      <c r="G22">
        <f>-936.64/(2*0.2432)</f>
        <v>-1925.6578947368421</v>
      </c>
    </row>
    <row r="24" spans="7:7">
      <c r="G24">
        <f>0.2432*G22^2+936.64*G22+8962.5</f>
        <v>-892861.60526315786</v>
      </c>
    </row>
    <row r="26" spans="7:7">
      <c r="G26">
        <f>0.2432*(2024-1970)^2+936.64*(2024-1970)+8962.5</f>
        <v>60250.231199999995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9C01-EA8D-864F-8173-279EBC917D60}">
  <sheetPr>
    <tabColor theme="9"/>
  </sheetPr>
  <dimension ref="A1:E31"/>
  <sheetViews>
    <sheetView topLeftCell="E1" workbookViewId="0">
      <selection activeCell="E32" sqref="E32"/>
    </sheetView>
  </sheetViews>
  <sheetFormatPr baseColWidth="10" defaultRowHeight="24"/>
  <cols>
    <col min="1" max="1" width="10.83203125" style="15"/>
    <col min="2" max="2" width="17.5" style="15" customWidth="1"/>
    <col min="3" max="3" width="33" style="15" customWidth="1"/>
    <col min="4" max="4" width="18.1640625" style="15" customWidth="1"/>
    <col min="5" max="16384" width="10.83203125" style="15"/>
  </cols>
  <sheetData>
    <row r="1" spans="1:5" ht="23" customHeight="1">
      <c r="A1" s="14" t="s">
        <v>4</v>
      </c>
    </row>
    <row r="3" spans="1:5" ht="47" customHeight="1">
      <c r="B3" s="16" t="s">
        <v>0</v>
      </c>
      <c r="C3" s="17" t="s">
        <v>5</v>
      </c>
      <c r="D3" s="15" t="s">
        <v>6</v>
      </c>
      <c r="E3" s="15" t="s">
        <v>7</v>
      </c>
    </row>
    <row r="4" spans="1:5">
      <c r="B4" s="18">
        <v>0</v>
      </c>
      <c r="C4" s="19">
        <v>113</v>
      </c>
      <c r="D4" s="15">
        <f>-0.0471*B4^2+2.3208*B4+114.31</f>
        <v>114.31</v>
      </c>
      <c r="E4" s="15">
        <f>(D4-C4)^2</f>
        <v>1.716100000000006</v>
      </c>
    </row>
    <row r="5" spans="1:5">
      <c r="B5" s="18">
        <v>1</v>
      </c>
      <c r="C5" s="19">
        <v>116</v>
      </c>
      <c r="D5" s="15">
        <f t="shared" ref="D5:D29" si="0">-0.0471*B5^2+2.3208*B5+114.31</f>
        <v>116.58370000000001</v>
      </c>
      <c r="E5" s="15">
        <f t="shared" ref="E5:E29" si="1">(D5-C5)^2</f>
        <v>0.34070569000000867</v>
      </c>
    </row>
    <row r="6" spans="1:5">
      <c r="B6" s="18">
        <v>2</v>
      </c>
      <c r="C6" s="19">
        <v>118</v>
      </c>
      <c r="D6" s="15">
        <f t="shared" si="0"/>
        <v>118.7632</v>
      </c>
      <c r="E6" s="15">
        <f t="shared" si="1"/>
        <v>0.58247423999999648</v>
      </c>
    </row>
    <row r="7" spans="1:5">
      <c r="B7" s="18">
        <v>3</v>
      </c>
      <c r="C7" s="19">
        <v>119</v>
      </c>
      <c r="D7" s="15">
        <f t="shared" si="0"/>
        <v>120.8485</v>
      </c>
      <c r="E7" s="15">
        <f t="shared" si="1"/>
        <v>3.4169522500000049</v>
      </c>
    </row>
    <row r="8" spans="1:5">
      <c r="B8" s="18">
        <v>4</v>
      </c>
      <c r="C8" s="19">
        <v>123</v>
      </c>
      <c r="D8" s="15">
        <f t="shared" si="0"/>
        <v>122.8396</v>
      </c>
      <c r="E8" s="15">
        <f t="shared" si="1"/>
        <v>2.5728159999998605E-2</v>
      </c>
    </row>
    <row r="9" spans="1:5">
      <c r="B9" s="18">
        <v>5</v>
      </c>
      <c r="C9" s="19">
        <v>125</v>
      </c>
      <c r="D9" s="15">
        <f t="shared" si="0"/>
        <v>124.73650000000001</v>
      </c>
      <c r="E9" s="15">
        <f t="shared" si="1"/>
        <v>6.9432249999996531E-2</v>
      </c>
    </row>
    <row r="10" spans="1:5">
      <c r="B10" s="18">
        <v>6</v>
      </c>
      <c r="C10" s="19">
        <v>126</v>
      </c>
      <c r="D10" s="15">
        <f t="shared" si="0"/>
        <v>126.53920000000001</v>
      </c>
      <c r="E10" s="15">
        <f t="shared" si="1"/>
        <v>0.29073664000000876</v>
      </c>
    </row>
    <row r="11" spans="1:5">
      <c r="B11" s="18">
        <v>7</v>
      </c>
      <c r="C11" s="19">
        <v>128</v>
      </c>
      <c r="D11" s="15">
        <f t="shared" si="0"/>
        <v>128.24770000000001</v>
      </c>
      <c r="E11" s="15">
        <f t="shared" si="1"/>
        <v>6.1355290000004413E-2</v>
      </c>
    </row>
    <row r="12" spans="1:5">
      <c r="B12" s="18">
        <v>8</v>
      </c>
      <c r="C12" s="19">
        <v>131</v>
      </c>
      <c r="D12" s="15">
        <f t="shared" si="0"/>
        <v>129.86199999999999</v>
      </c>
      <c r="E12" s="15">
        <f t="shared" si="1"/>
        <v>1.2950440000000119</v>
      </c>
    </row>
    <row r="13" spans="1:5">
      <c r="B13" s="18">
        <v>9</v>
      </c>
      <c r="C13" s="19">
        <v>133</v>
      </c>
      <c r="D13" s="15">
        <f t="shared" si="0"/>
        <v>131.38210000000001</v>
      </c>
      <c r="E13" s="15">
        <f t="shared" si="1"/>
        <v>2.617600409999973</v>
      </c>
    </row>
    <row r="14" spans="1:5">
      <c r="B14" s="18">
        <v>10</v>
      </c>
      <c r="C14" s="19">
        <v>136</v>
      </c>
      <c r="D14" s="15">
        <f t="shared" si="0"/>
        <v>132.80799999999999</v>
      </c>
      <c r="E14" s="15">
        <f t="shared" si="1"/>
        <v>10.188864000000047</v>
      </c>
    </row>
    <row r="15" spans="1:5">
      <c r="B15" s="18">
        <v>11</v>
      </c>
      <c r="C15" s="19">
        <v>140</v>
      </c>
      <c r="D15" s="15">
        <f t="shared" si="0"/>
        <v>134.1397</v>
      </c>
      <c r="E15" s="15">
        <f t="shared" si="1"/>
        <v>34.343116089999945</v>
      </c>
    </row>
    <row r="16" spans="1:5">
      <c r="B16" s="18">
        <v>12</v>
      </c>
      <c r="C16" s="19">
        <v>140</v>
      </c>
      <c r="D16" s="15">
        <f t="shared" si="0"/>
        <v>135.37720000000002</v>
      </c>
      <c r="E16" s="15">
        <f t="shared" si="1"/>
        <v>21.370279839999849</v>
      </c>
    </row>
    <row r="17" spans="2:5">
      <c r="B17" s="18">
        <v>13</v>
      </c>
      <c r="C17" s="19">
        <v>140</v>
      </c>
      <c r="D17" s="15">
        <f t="shared" si="0"/>
        <v>136.5205</v>
      </c>
      <c r="E17" s="15">
        <f>(D17-C17)^2</f>
        <v>12.106920250000011</v>
      </c>
    </row>
    <row r="18" spans="2:5">
      <c r="B18" s="18">
        <v>14</v>
      </c>
      <c r="C18" s="19">
        <v>136</v>
      </c>
      <c r="D18" s="15">
        <f t="shared" si="0"/>
        <v>137.56960000000001</v>
      </c>
      <c r="E18" s="15">
        <f t="shared" si="1"/>
        <v>2.4636441600000261</v>
      </c>
    </row>
    <row r="19" spans="2:5">
      <c r="B19" s="18">
        <v>15</v>
      </c>
      <c r="C19" s="19">
        <v>137</v>
      </c>
      <c r="D19" s="15">
        <f t="shared" si="0"/>
        <v>138.52450000000002</v>
      </c>
      <c r="E19" s="15">
        <f t="shared" si="1"/>
        <v>2.3241002500000536</v>
      </c>
    </row>
    <row r="20" spans="2:5">
      <c r="B20" s="18">
        <v>16</v>
      </c>
      <c r="C20" s="19">
        <v>138</v>
      </c>
      <c r="D20" s="15">
        <f>-0.0471*B20^2+2.3208*B20+114.31</f>
        <v>139.3852</v>
      </c>
      <c r="E20" s="15">
        <f t="shared" si="1"/>
        <v>1.9187790399999931</v>
      </c>
    </row>
    <row r="21" spans="2:5">
      <c r="B21" s="18">
        <v>17</v>
      </c>
      <c r="C21" s="19">
        <v>135</v>
      </c>
      <c r="D21" s="15">
        <f t="shared" si="0"/>
        <v>140.15170000000001</v>
      </c>
      <c r="E21" s="15">
        <f t="shared" si="1"/>
        <v>26.540012890000053</v>
      </c>
    </row>
    <row r="22" spans="2:5">
      <c r="B22" s="18">
        <v>18</v>
      </c>
      <c r="C22" s="19">
        <v>135</v>
      </c>
      <c r="D22" s="15">
        <f t="shared" si="0"/>
        <v>140.82400000000001</v>
      </c>
      <c r="E22" s="15">
        <f t="shared" si="1"/>
        <v>33.918976000000143</v>
      </c>
    </row>
    <row r="23" spans="2:5">
      <c r="B23" s="18">
        <v>19</v>
      </c>
      <c r="C23" s="19">
        <v>135</v>
      </c>
      <c r="D23" s="15">
        <f t="shared" si="0"/>
        <v>141.40210000000002</v>
      </c>
      <c r="E23" s="15">
        <f t="shared" si="1"/>
        <v>40.986884410000236</v>
      </c>
    </row>
    <row r="24" spans="2:5">
      <c r="B24" s="18">
        <v>20</v>
      </c>
      <c r="C24" s="19">
        <v>140</v>
      </c>
      <c r="D24" s="15">
        <f t="shared" si="0"/>
        <v>141.886</v>
      </c>
      <c r="E24" s="15">
        <f t="shared" si="1"/>
        <v>3.5569959999999838</v>
      </c>
    </row>
    <row r="25" spans="2:5">
      <c r="B25" s="18">
        <v>21</v>
      </c>
      <c r="C25" s="19">
        <v>141</v>
      </c>
      <c r="D25" s="15">
        <f t="shared" si="0"/>
        <v>142.2757</v>
      </c>
      <c r="E25" s="15">
        <f t="shared" si="1"/>
        <v>1.6274104900000013</v>
      </c>
    </row>
    <row r="26" spans="2:5">
      <c r="B26" s="18">
        <v>22</v>
      </c>
      <c r="C26" s="19">
        <v>145</v>
      </c>
      <c r="D26" s="15">
        <f t="shared" si="0"/>
        <v>142.5712</v>
      </c>
      <c r="E26" s="15">
        <f t="shared" si="1"/>
        <v>5.8990694399999777</v>
      </c>
    </row>
    <row r="27" spans="2:5">
      <c r="B27" s="18">
        <v>23</v>
      </c>
      <c r="C27" s="19">
        <v>145</v>
      </c>
      <c r="D27" s="15">
        <f t="shared" si="0"/>
        <v>142.77250000000001</v>
      </c>
      <c r="E27" s="15">
        <f t="shared" si="1"/>
        <v>4.9617562499999641</v>
      </c>
    </row>
    <row r="28" spans="2:5">
      <c r="B28" s="18">
        <v>24</v>
      </c>
      <c r="C28" s="19">
        <v>145</v>
      </c>
      <c r="D28" s="15">
        <f t="shared" si="0"/>
        <v>142.87960000000001</v>
      </c>
      <c r="E28" s="15">
        <f t="shared" si="1"/>
        <v>4.4960961599999552</v>
      </c>
    </row>
    <row r="29" spans="2:5">
      <c r="B29" s="18">
        <v>25</v>
      </c>
      <c r="C29" s="19">
        <v>146</v>
      </c>
      <c r="D29" s="15">
        <f t="shared" si="0"/>
        <v>142.89250000000001</v>
      </c>
      <c r="E29" s="15">
        <f t="shared" si="1"/>
        <v>9.6565562499999231</v>
      </c>
    </row>
    <row r="31" spans="2:5">
      <c r="D31" s="15" t="s">
        <v>8</v>
      </c>
      <c r="E31" s="15">
        <f>SUM(E4:E29)</f>
        <v>226.77559045000015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B2BC-4D5A-FA40-B879-DD8FD5F25FF4}">
  <sheetPr>
    <tabColor theme="7"/>
  </sheetPr>
  <dimension ref="A1:I29"/>
  <sheetViews>
    <sheetView tabSelected="1" topLeftCell="E2" workbookViewId="0">
      <selection activeCell="L19" sqref="L19"/>
    </sheetView>
  </sheetViews>
  <sheetFormatPr baseColWidth="10" defaultRowHeight="25"/>
  <cols>
    <col min="1" max="1" width="18.83203125" style="6" customWidth="1"/>
    <col min="2" max="2" width="31.83203125" style="6" customWidth="1"/>
    <col min="3" max="3" width="15" style="2" customWidth="1"/>
    <col min="4" max="16384" width="10.83203125" style="2"/>
  </cols>
  <sheetData>
    <row r="1" spans="1:9" ht="89" customHeight="1">
      <c r="A1" s="12" t="s">
        <v>0</v>
      </c>
      <c r="B1" s="11" t="s">
        <v>2</v>
      </c>
      <c r="C1" s="1" t="s">
        <v>11</v>
      </c>
      <c r="D1" s="1" t="s">
        <v>12</v>
      </c>
      <c r="E1" s="1"/>
      <c r="F1" s="1"/>
      <c r="G1" s="1"/>
      <c r="H1" s="1"/>
      <c r="I1" s="1"/>
    </row>
    <row r="2" spans="1:9">
      <c r="A2" s="13">
        <v>0</v>
      </c>
      <c r="B2" s="4">
        <v>3672</v>
      </c>
      <c r="C2" s="1">
        <f>6.6835*A2^2+566.38*A2+3038.8</f>
        <v>3038.8</v>
      </c>
      <c r="D2" s="1">
        <f>(C2-B2)^2</f>
        <v>400942.23999999976</v>
      </c>
      <c r="E2" s="1"/>
      <c r="F2" s="1"/>
      <c r="G2" s="1"/>
      <c r="H2" s="1"/>
      <c r="I2" s="1"/>
    </row>
    <row r="3" spans="1:9">
      <c r="A3" s="13">
        <v>5</v>
      </c>
      <c r="B3" s="4">
        <v>5470</v>
      </c>
      <c r="C3" s="1">
        <f t="shared" ref="C3:C11" si="0">6.6835*A3^2+566.38*A3+3038.8</f>
        <v>6037.7875000000004</v>
      </c>
      <c r="D3" s="1">
        <f t="shared" ref="D3:D11" si="1">(C3-B3)^2</f>
        <v>322382.64515625039</v>
      </c>
      <c r="E3" s="1"/>
      <c r="F3" s="1"/>
      <c r="G3" s="1"/>
      <c r="H3" s="1"/>
      <c r="I3" s="1"/>
    </row>
    <row r="4" spans="1:9">
      <c r="A4" s="13">
        <v>10</v>
      </c>
      <c r="B4" s="4">
        <v>8885</v>
      </c>
      <c r="C4" s="1">
        <f t="shared" si="0"/>
        <v>9370.9500000000007</v>
      </c>
      <c r="D4" s="1">
        <f t="shared" si="1"/>
        <v>236147.40250000069</v>
      </c>
      <c r="E4"/>
      <c r="G4" s="1"/>
      <c r="H4" s="1"/>
      <c r="I4" s="1"/>
    </row>
    <row r="5" spans="1:9">
      <c r="A5" s="13">
        <v>15</v>
      </c>
      <c r="B5" s="5">
        <v>12910</v>
      </c>
      <c r="C5" s="1">
        <f t="shared" si="0"/>
        <v>13038.287500000002</v>
      </c>
      <c r="D5" s="1">
        <f t="shared" si="1"/>
        <v>16457.682656250559</v>
      </c>
      <c r="E5"/>
      <c r="G5" s="1"/>
      <c r="H5" s="1"/>
      <c r="I5" s="1"/>
    </row>
    <row r="6" spans="1:9">
      <c r="A6" s="13">
        <v>20</v>
      </c>
      <c r="B6" s="4">
        <v>17208</v>
      </c>
      <c r="C6" s="1">
        <f t="shared" si="0"/>
        <v>17039.8</v>
      </c>
      <c r="D6" s="1">
        <f t="shared" si="1"/>
        <v>28291.240000000245</v>
      </c>
      <c r="E6"/>
      <c r="G6" s="1"/>
      <c r="H6" s="1"/>
      <c r="I6" s="1"/>
    </row>
    <row r="7" spans="1:9">
      <c r="A7" s="13">
        <v>25</v>
      </c>
      <c r="B7" s="4">
        <v>21373</v>
      </c>
      <c r="C7" s="1">
        <f t="shared" si="0"/>
        <v>21375.487499999999</v>
      </c>
      <c r="D7" s="1">
        <f t="shared" si="1"/>
        <v>6.1876562499963805</v>
      </c>
      <c r="E7"/>
      <c r="H7" s="1"/>
      <c r="I7" s="1"/>
    </row>
    <row r="8" spans="1:9">
      <c r="A8" s="13">
        <v>30</v>
      </c>
      <c r="B8" s="4">
        <v>26908</v>
      </c>
      <c r="C8" s="1">
        <f t="shared" si="0"/>
        <v>26045.350000000002</v>
      </c>
      <c r="D8" s="1">
        <f t="shared" si="1"/>
        <v>744165.02249999624</v>
      </c>
      <c r="E8"/>
      <c r="G8" s="1"/>
      <c r="H8" s="1"/>
      <c r="I8" s="1"/>
    </row>
    <row r="9" spans="1:9">
      <c r="A9" s="13">
        <v>35</v>
      </c>
      <c r="B9" s="4">
        <v>32026</v>
      </c>
      <c r="C9" s="1">
        <f t="shared" si="0"/>
        <v>31049.387500000001</v>
      </c>
      <c r="D9" s="1">
        <f t="shared" si="1"/>
        <v>953771.97515624855</v>
      </c>
      <c r="E9" s="1"/>
      <c r="F9" s="1"/>
      <c r="G9" s="1"/>
      <c r="H9" s="1"/>
      <c r="I9" s="1"/>
    </row>
    <row r="10" spans="1:9">
      <c r="A10" s="13">
        <v>40</v>
      </c>
      <c r="B10" s="4">
        <v>34031</v>
      </c>
      <c r="C10" s="1">
        <f t="shared" si="0"/>
        <v>36387.600000000006</v>
      </c>
      <c r="D10" s="1">
        <f t="shared" si="1"/>
        <v>5553563.5600000275</v>
      </c>
    </row>
    <row r="11" spans="1:9">
      <c r="A11" s="13">
        <v>45</v>
      </c>
      <c r="B11" s="4">
        <v>42961</v>
      </c>
      <c r="C11" s="1">
        <f t="shared" si="0"/>
        <v>42059.987500000003</v>
      </c>
      <c r="D11" s="1">
        <f t="shared" si="1"/>
        <v>811823.52515624475</v>
      </c>
    </row>
    <row r="13" spans="1:9">
      <c r="C13" s="2" t="s">
        <v>10</v>
      </c>
      <c r="D13" s="2">
        <f>SUM(D2:D11)</f>
        <v>9067551.4807812683</v>
      </c>
    </row>
    <row r="18" spans="2:9">
      <c r="F18" s="2">
        <f>6.6835*(2024-1975)^2+566.38*(2024-1975)+3038.8</f>
        <v>46838.503500000006</v>
      </c>
      <c r="I18" s="2">
        <f>-566.38/(2*6.6835)</f>
        <v>-42.371511932370758</v>
      </c>
    </row>
    <row r="19" spans="2:9">
      <c r="I19" s="2">
        <f>6.6835*I18^2+566.38*I18+3038.8</f>
        <v>-8960.3884641280783</v>
      </c>
    </row>
    <row r="29" spans="2:9">
      <c r="B29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DEE5-F68F-8644-8837-2F73B75DC4B0}">
  <sheetPr>
    <tabColor theme="7"/>
  </sheetPr>
  <dimension ref="A1:F12"/>
  <sheetViews>
    <sheetView zoomScaleNormal="140" workbookViewId="0">
      <selection activeCell="P12" sqref="P12"/>
    </sheetView>
  </sheetViews>
  <sheetFormatPr baseColWidth="10" defaultRowHeight="25"/>
  <cols>
    <col min="1" max="1" width="17.6640625" style="6" customWidth="1"/>
    <col min="2" max="2" width="28.6640625" style="6" customWidth="1"/>
    <col min="3" max="3" width="10.83203125" style="2"/>
    <col min="4" max="4" width="18.6640625" style="2" customWidth="1"/>
    <col min="5" max="16384" width="10.83203125" style="2"/>
  </cols>
  <sheetData>
    <row r="1" spans="1:6" ht="90" customHeight="1">
      <c r="A1" s="12" t="s">
        <v>0</v>
      </c>
      <c r="B1" s="11" t="s">
        <v>1</v>
      </c>
      <c r="C1" s="2" t="s">
        <v>11</v>
      </c>
      <c r="D1" s="2" t="s">
        <v>12</v>
      </c>
      <c r="E1" s="2" t="s">
        <v>11</v>
      </c>
      <c r="F1" s="2" t="s">
        <v>12</v>
      </c>
    </row>
    <row r="2" spans="1:6">
      <c r="A2" s="13">
        <v>0</v>
      </c>
      <c r="B2" s="4">
        <v>2.0699999999999998</v>
      </c>
      <c r="C2" s="2">
        <f>0.1063*A2+2.6136</f>
        <v>2.6135999999999999</v>
      </c>
      <c r="D2" s="2">
        <f>(C2-B2)^2</f>
        <v>0.29550096000000009</v>
      </c>
      <c r="E2" s="2">
        <f>-0.0401*A2^2+0.4272*A2+2.2392</f>
        <v>2.2391999999999999</v>
      </c>
      <c r="F2" s="2">
        <f>(E2-B2)^2</f>
        <v>2.8628640000000007E-2</v>
      </c>
    </row>
    <row r="3" spans="1:6">
      <c r="A3" s="13">
        <v>1</v>
      </c>
      <c r="B3" s="4">
        <v>2.76</v>
      </c>
      <c r="C3" s="2">
        <f t="shared" ref="C3:C10" si="0">0.1063*A3+2.6136</f>
        <v>2.7199</v>
      </c>
      <c r="D3" s="2">
        <f t="shared" ref="D3:D10" si="1">(C3-B3)^2</f>
        <v>1.6080099999999842E-3</v>
      </c>
      <c r="E3" s="2">
        <f t="shared" ref="E3:E10" si="2">-0.0401*A3^2+0.4272*A3+2.2392</f>
        <v>2.6262999999999996</v>
      </c>
      <c r="F3" s="2">
        <f t="shared" ref="F3:F10" si="3">(E3-B3)^2</f>
        <v>1.7875690000000041E-2</v>
      </c>
    </row>
    <row r="4" spans="1:6">
      <c r="A4" s="13">
        <v>2</v>
      </c>
      <c r="B4" s="4">
        <v>2.82</v>
      </c>
      <c r="C4" s="2">
        <f t="shared" si="0"/>
        <v>2.8262</v>
      </c>
      <c r="D4" s="2">
        <f t="shared" si="1"/>
        <v>3.8440000000002546E-5</v>
      </c>
      <c r="E4" s="2">
        <f t="shared" si="2"/>
        <v>2.9331999999999998</v>
      </c>
      <c r="F4" s="2">
        <f t="shared" si="3"/>
        <v>1.2814239999999992E-2</v>
      </c>
    </row>
    <row r="5" spans="1:6">
      <c r="A5" s="13">
        <v>3</v>
      </c>
      <c r="B5" s="4">
        <v>2.88</v>
      </c>
      <c r="C5" s="2">
        <f t="shared" si="0"/>
        <v>2.9325000000000001</v>
      </c>
      <c r="D5" s="2">
        <f t="shared" si="1"/>
        <v>2.7562500000000226E-3</v>
      </c>
      <c r="E5" s="2">
        <f t="shared" si="2"/>
        <v>3.1598999999999999</v>
      </c>
      <c r="F5" s="2">
        <f t="shared" si="3"/>
        <v>7.8344010000000019E-2</v>
      </c>
    </row>
    <row r="6" spans="1:6">
      <c r="A6" s="13">
        <v>4</v>
      </c>
      <c r="B6" s="4">
        <v>4.5199999999999996</v>
      </c>
      <c r="C6" s="2">
        <f t="shared" si="0"/>
        <v>3.0388000000000002</v>
      </c>
      <c r="D6" s="2">
        <f t="shared" si="1"/>
        <v>2.1939534399999983</v>
      </c>
      <c r="E6" s="2">
        <f t="shared" si="2"/>
        <v>3.3064</v>
      </c>
      <c r="F6" s="2">
        <f t="shared" si="3"/>
        <v>1.472824959999999</v>
      </c>
    </row>
    <row r="7" spans="1:6">
      <c r="A7" s="13">
        <v>5</v>
      </c>
      <c r="B7" s="4">
        <v>3.9</v>
      </c>
      <c r="C7" s="2">
        <f t="shared" si="0"/>
        <v>3.1451000000000002</v>
      </c>
      <c r="D7" s="2">
        <f t="shared" si="1"/>
        <v>0.56987400999999949</v>
      </c>
      <c r="E7" s="2">
        <f t="shared" si="2"/>
        <v>3.3727</v>
      </c>
      <c r="F7" s="2">
        <f t="shared" si="3"/>
        <v>0.27804528999999989</v>
      </c>
    </row>
    <row r="8" spans="1:6">
      <c r="A8" s="13">
        <v>6</v>
      </c>
      <c r="B8" s="4">
        <v>0.92</v>
      </c>
      <c r="C8" s="2">
        <f t="shared" si="0"/>
        <v>3.2513999999999998</v>
      </c>
      <c r="D8" s="2">
        <f t="shared" si="1"/>
        <v>5.4354259599999999</v>
      </c>
      <c r="E8" s="2">
        <f t="shared" si="2"/>
        <v>3.3588</v>
      </c>
      <c r="F8" s="2">
        <f t="shared" si="3"/>
        <v>5.9477454400000003</v>
      </c>
    </row>
    <row r="9" spans="1:6">
      <c r="A9" s="13">
        <v>7</v>
      </c>
      <c r="B9" s="4">
        <v>4.2</v>
      </c>
      <c r="C9" s="2">
        <f t="shared" si="0"/>
        <v>3.3576999999999999</v>
      </c>
      <c r="D9" s="2">
        <f t="shared" si="1"/>
        <v>0.70946929000000047</v>
      </c>
      <c r="E9" s="2">
        <f t="shared" si="2"/>
        <v>3.2647000000000004</v>
      </c>
      <c r="F9" s="2">
        <f t="shared" si="3"/>
        <v>0.87478608999999963</v>
      </c>
    </row>
    <row r="10" spans="1:6">
      <c r="A10" s="13">
        <v>8</v>
      </c>
      <c r="B10" s="4">
        <v>3.28</v>
      </c>
      <c r="C10" s="2">
        <f t="shared" si="0"/>
        <v>3.464</v>
      </c>
      <c r="D10" s="2">
        <f t="shared" si="1"/>
        <v>3.385600000000006E-2</v>
      </c>
      <c r="E10" s="2">
        <f t="shared" si="2"/>
        <v>3.0904000000000003</v>
      </c>
      <c r="F10" s="2">
        <f t="shared" si="3"/>
        <v>3.5948159999999826E-2</v>
      </c>
    </row>
    <row r="12" spans="1:6">
      <c r="C12" s="2" t="s">
        <v>8</v>
      </c>
      <c r="D12" s="2">
        <f>SUM(D2:D10)</f>
        <v>9.2424823599999986</v>
      </c>
      <c r="F12" s="2">
        <f>SUM(F2:F10)</f>
        <v>8.7470125199999984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Quadratic Trend</vt:lpstr>
      <vt:lpstr>Quadratic or Linear </vt:lpstr>
      <vt:lpstr>Practice 1</vt:lpstr>
      <vt:lpstr>Practice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Hughes</dc:creator>
  <cp:lastModifiedBy>Kaitlyn Hughes</cp:lastModifiedBy>
  <dcterms:created xsi:type="dcterms:W3CDTF">2024-01-29T14:16:54Z</dcterms:created>
  <dcterms:modified xsi:type="dcterms:W3CDTF">2025-01-13T22:24:46Z</dcterms:modified>
</cp:coreProperties>
</file>