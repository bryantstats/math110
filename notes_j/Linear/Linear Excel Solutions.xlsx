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mc:AlternateContent xmlns:mc="http://schemas.openxmlformats.org/markup-compatibility/2006">
    <mc:Choice Requires="x15">
      <x15ac:absPath xmlns:x15ac="http://schemas.microsoft.com/office/spreadsheetml/2010/11/ac" url="/Users/kaitlynhughes/Desktop/Bryant/Math 110 2025/Linear/"/>
    </mc:Choice>
  </mc:AlternateContent>
  <xr:revisionPtr revIDLastSave="0" documentId="8_{C7BF60D3-9848-214F-84C7-60BE2E8F13FB}" xr6:coauthVersionLast="47" xr6:coauthVersionMax="47" xr10:uidLastSave="{00000000-0000-0000-0000-000000000000}"/>
  <bookViews>
    <workbookView xWindow="460" yWindow="500" windowWidth="25340" windowHeight="16040" activeTab="1" xr2:uid="{00000000-000D-0000-FFFF-FFFF00000000}"/>
  </bookViews>
  <sheets>
    <sheet name="Linear Trend" sheetId="6" r:id="rId1"/>
    <sheet name="Linear Practice 1" sheetId="8" r:id="rId2"/>
    <sheet name="Linear Practice 2" sheetId="10" r:id="rId3"/>
  </sheets>
  <definedNames>
    <definedName name="solver_adj" localSheetId="0" hidden="1">'Linear Trend'!$B$29</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'Linear Trend'!$F$17</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10" l="1"/>
  <c r="S11" i="10"/>
  <c r="F19" i="8"/>
  <c r="F16" i="8"/>
  <c r="F5" i="8"/>
  <c r="F6" i="8"/>
  <c r="F7" i="8"/>
  <c r="F8" i="8"/>
  <c r="F9" i="8"/>
  <c r="F10" i="8"/>
  <c r="F11" i="8"/>
  <c r="F12" i="8"/>
  <c r="F13" i="8"/>
  <c r="F14" i="8"/>
  <c r="F4" i="8"/>
  <c r="E5" i="8"/>
  <c r="E6" i="8"/>
  <c r="E7" i="8"/>
  <c r="E8" i="8"/>
  <c r="E9" i="8"/>
  <c r="E10" i="8"/>
  <c r="E11" i="8"/>
  <c r="E12" i="8"/>
  <c r="E13" i="8"/>
  <c r="E14" i="8"/>
  <c r="E4" i="8"/>
  <c r="D36" i="6"/>
  <c r="C34" i="6"/>
  <c r="E31" i="6"/>
  <c r="E19" i="6"/>
  <c r="E20" i="6"/>
  <c r="E21" i="6"/>
  <c r="E22" i="6"/>
  <c r="E23" i="6"/>
  <c r="E24" i="6"/>
  <c r="E25" i="6"/>
  <c r="E26" i="6"/>
  <c r="E27" i="6"/>
  <c r="E28" i="6"/>
  <c r="E29" i="6"/>
  <c r="E5" i="6"/>
  <c r="E6" i="6"/>
  <c r="E7" i="6"/>
  <c r="E8" i="6"/>
  <c r="E9" i="6"/>
  <c r="E10" i="6"/>
  <c r="E11" i="6"/>
  <c r="E12" i="6"/>
  <c r="E13" i="6"/>
  <c r="E14" i="6"/>
  <c r="E15" i="6"/>
  <c r="E16" i="6"/>
  <c r="E17" i="6"/>
  <c r="E18" i="6"/>
  <c r="E4" i="6"/>
  <c r="D22" i="6"/>
  <c r="D23" i="6"/>
  <c r="D24" i="6"/>
  <c r="D25" i="6"/>
  <c r="D26" i="6"/>
  <c r="D27" i="6"/>
  <c r="D28" i="6"/>
  <c r="D29" i="6"/>
  <c r="D5" i="6"/>
  <c r="D6" i="6"/>
  <c r="D7" i="6"/>
  <c r="D8" i="6"/>
  <c r="D9" i="6"/>
  <c r="D10" i="6"/>
  <c r="D11" i="6"/>
  <c r="D12" i="6"/>
  <c r="D13" i="6"/>
  <c r="D14" i="6"/>
  <c r="D15" i="6"/>
  <c r="D16" i="6"/>
  <c r="D17" i="6"/>
  <c r="D18" i="6"/>
  <c r="D19" i="6"/>
  <c r="D20" i="6"/>
  <c r="D21" i="6"/>
  <c r="D4" i="6"/>
</calcChain>
</file>

<file path=xl/sharedStrings.xml><?xml version="1.0" encoding="utf-8"?>
<sst xmlns="http://schemas.openxmlformats.org/spreadsheetml/2006/main" count="89" uniqueCount="44">
  <si>
    <t>F</t>
  </si>
  <si>
    <t>ID</t>
  </si>
  <si>
    <t>GENDER</t>
  </si>
  <si>
    <t>SAT_VERBAL</t>
  </si>
  <si>
    <t>SAT_MATH</t>
  </si>
  <si>
    <t>SAT_COMBINED</t>
  </si>
  <si>
    <t>SAT_WRITING</t>
  </si>
  <si>
    <t>MASV</t>
  </si>
  <si>
    <t>MATH_PLACEMENT</t>
  </si>
  <si>
    <t>HS_GPA</t>
  </si>
  <si>
    <t>CITZ_CODE</t>
  </si>
  <si>
    <t>M</t>
  </si>
  <si>
    <t/>
  </si>
  <si>
    <t>N</t>
  </si>
  <si>
    <t>Y</t>
  </si>
  <si>
    <t>3</t>
  </si>
  <si>
    <t>5</t>
  </si>
  <si>
    <t>1</t>
  </si>
  <si>
    <t>PR</t>
  </si>
  <si>
    <t>D</t>
  </si>
  <si>
    <t>4</t>
  </si>
  <si>
    <t>1. Create trendline equation</t>
  </si>
  <si>
    <t>HS_GPA versus SAT combined</t>
  </si>
  <si>
    <t>Let HS GPA be the x value and SAT Combined be the y value.</t>
  </si>
  <si>
    <t xml:space="preserve">Copy and paste these two columns next to each other in an empty part of the spread sheet. </t>
  </si>
  <si>
    <t xml:space="preserve">Then answer the following questions: </t>
  </si>
  <si>
    <t>Year</t>
  </si>
  <si>
    <t>Consumption (billions of gallons)</t>
  </si>
  <si>
    <t xml:space="preserve">Gasoline consumption in the United States has been steadily increasing. Consumption data from 1994 to 2019 is shown in the table </t>
  </si>
  <si>
    <t>2. When GPA is 3.0, what is the predicted SAT score?</t>
  </si>
  <si>
    <t>3. When GPA is 4.0, what is the predicted SAT score?</t>
  </si>
  <si>
    <t>4.  Interpret the slope for this equation</t>
  </si>
  <si>
    <t xml:space="preserve">5. Interpret the y-intercept for this equation </t>
  </si>
  <si>
    <t>Unemployment Rate (%)</t>
  </si>
  <si>
    <t xml:space="preserve">estimated y </t>
  </si>
  <si>
    <t>Residual Squared</t>
  </si>
  <si>
    <t xml:space="preserve">total error: </t>
  </si>
  <si>
    <t xml:space="preserve">2022 estimate: </t>
  </si>
  <si>
    <t>estimated y</t>
  </si>
  <si>
    <t>residual squared</t>
  </si>
  <si>
    <t>2024 prediction</t>
  </si>
  <si>
    <t xml:space="preserve">For every 1 point increase in GPA, the combined SAT score increases by 98.392 points. </t>
  </si>
  <si>
    <t xml:space="preserve">When a student's GPA is 0, their combined SAT score would be 786.43. </t>
  </si>
  <si>
    <t>y=93.392x+786.43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</si>
</sst>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4">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0"/>
      <name val="MS Sans Serif"/>
    </font>
    <font>
      <b/>
      <sz val="8"/>
      <color rgb="FF000000"/>
      <name val="Calibri"/>
      <family val="2"/>
    </font>
    <font>
      <sz val="11"/>
      <color rgb="FF000000"/>
      <name val="Calibri"/>
      <family val="2"/>
    </font>
    <font>
      <b/>
      <sz val="14"/>
      <color rgb="FF000000"/>
      <name val="Calibri"/>
      <family val="2"/>
    </font>
    <font>
      <b/>
      <sz val="12"/>
      <color theme="1"/>
      <name val="Calibri"/>
      <family val="2"/>
      <scheme val="minor"/>
    </font>
    <font>
      <sz val="14"/>
      <color theme="1"/>
      <name val="Calibri (Body)"/>
    </font>
    <font>
      <sz val="12"/>
      <color rgb="FF000000"/>
      <name val="Tahoma"/>
      <family val="2"/>
    </font>
    <font>
      <b/>
      <sz val="11"/>
      <color rgb="FFFF000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C0C0C0"/>
        <bgColor rgb="FFC0C0C0"/>
      </patternFill>
    </fill>
    <fill>
      <patternFill patternType="solid">
        <fgColor rgb="FF92D050"/>
        <bgColor rgb="FFC0C0C0"/>
      </patternFill>
    </fill>
    <fill>
      <patternFill patternType="solid">
        <fgColor rgb="FF92D050"/>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auto="1"/>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44" fontId="3" fillId="0" borderId="0" applyFont="0" applyFill="0" applyBorder="0" applyAlignment="0" applyProtection="0"/>
    <xf numFmtId="0" fontId="6" fillId="0" borderId="0"/>
  </cellStyleXfs>
  <cellXfs count="27">
    <xf numFmtId="0" fontId="0" fillId="0" borderId="0" xfId="0"/>
    <xf numFmtId="0" fontId="5" fillId="0" borderId="0" xfId="0" applyFont="1"/>
    <xf numFmtId="0" fontId="0" fillId="2" borderId="0" xfId="0" applyFill="1"/>
    <xf numFmtId="0" fontId="7" fillId="3" borderId="1" xfId="2" applyFont="1" applyFill="1" applyBorder="1" applyAlignment="1">
      <alignment horizontal="center" vertical="center"/>
    </xf>
    <xf numFmtId="0" fontId="7" fillId="4" borderId="1" xfId="2" applyFont="1" applyFill="1" applyBorder="1" applyAlignment="1">
      <alignment horizontal="center" vertical="center"/>
    </xf>
    <xf numFmtId="0" fontId="8" fillId="0" borderId="2" xfId="2" applyFont="1" applyBorder="1" applyAlignment="1">
      <alignment vertical="center" wrapText="1"/>
    </xf>
    <xf numFmtId="0" fontId="8" fillId="0" borderId="2" xfId="2" applyFont="1" applyBorder="1" applyAlignment="1">
      <alignment horizontal="right" vertical="center" wrapText="1"/>
    </xf>
    <xf numFmtId="2" fontId="8" fillId="5" borderId="2" xfId="2" applyNumberFormat="1" applyFont="1" applyFill="1" applyBorder="1" applyAlignment="1">
      <alignment horizontal="right" vertical="center" wrapText="1"/>
    </xf>
    <xf numFmtId="0" fontId="6" fillId="0" borderId="0" xfId="2"/>
    <xf numFmtId="0" fontId="9" fillId="4" borderId="3" xfId="2" applyFont="1" applyFill="1" applyBorder="1" applyAlignment="1">
      <alignment horizontal="left" vertical="center"/>
    </xf>
    <xf numFmtId="0" fontId="11" fillId="0" borderId="0" xfId="0" applyFont="1"/>
    <xf numFmtId="0" fontId="12" fillId="0" borderId="0" xfId="0" applyFont="1"/>
    <xf numFmtId="0" fontId="1" fillId="0" borderId="0" xfId="0" applyFont="1"/>
    <xf numFmtId="0" fontId="0" fillId="0" borderId="0" xfId="0" applyAlignment="1">
      <alignment vertical="top"/>
    </xf>
    <xf numFmtId="0" fontId="4" fillId="2" borderId="6" xfId="0" applyFont="1" applyFill="1" applyBorder="1" applyAlignment="1">
      <alignment horizontal="center" wrapText="1"/>
    </xf>
    <xf numFmtId="44" fontId="4" fillId="2" borderId="4" xfId="1" applyFont="1" applyFill="1" applyBorder="1" applyAlignment="1">
      <alignment horizontal="center" wrapText="1"/>
    </xf>
    <xf numFmtId="0" fontId="5" fillId="2" borderId="5" xfId="0" applyFont="1" applyFill="1" applyBorder="1" applyAlignment="1">
      <alignment horizontal="center" vertical="center"/>
    </xf>
    <xf numFmtId="0" fontId="5" fillId="2" borderId="0" xfId="0" applyFont="1" applyFill="1" applyAlignment="1">
      <alignment horizontal="center" vertical="center"/>
    </xf>
    <xf numFmtId="0" fontId="5" fillId="2" borderId="5" xfId="0" applyFont="1" applyFill="1" applyBorder="1" applyAlignment="1">
      <alignment horizontal="center"/>
    </xf>
    <xf numFmtId="0" fontId="5" fillId="2" borderId="0" xfId="0" applyFont="1" applyFill="1" applyAlignment="1">
      <alignment horizontal="center"/>
    </xf>
    <xf numFmtId="0" fontId="10" fillId="2" borderId="6" xfId="0" applyFont="1" applyFill="1" applyBorder="1" applyAlignment="1">
      <alignment horizontal="center" wrapText="1"/>
    </xf>
    <xf numFmtId="44" fontId="10" fillId="2" borderId="4" xfId="1" applyFont="1" applyFill="1" applyBorder="1" applyAlignment="1">
      <alignment horizontal="center" wrapText="1"/>
    </xf>
    <xf numFmtId="0" fontId="2" fillId="2" borderId="5" xfId="0" applyFont="1" applyFill="1" applyBorder="1" applyAlignment="1">
      <alignment horizontal="center" vertical="center"/>
    </xf>
    <xf numFmtId="0" fontId="2" fillId="2" borderId="0" xfId="0" applyFont="1" applyFill="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3" fillId="0" borderId="0" xfId="0" applyFont="1"/>
  </cellXfs>
  <cellStyles count="3">
    <cellStyle name="Currency" xfId="1" builtinId="4"/>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'Linear Trend'!$C$3</c:f>
              <c:strCache>
                <c:ptCount val="1"/>
                <c:pt idx="0">
                  <c:v> Consumption (billions of gallons)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9654418197725286E-3"/>
                  <c:y val="0.12923592884222806"/>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1.1426x + 119.03</a:t>
                    </a:r>
                    <a:br>
                      <a:rPr lang="en-US" baseline="0"/>
                    </a:b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'Linear Trend'!$B$4:$B$29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xVal>
          <c:yVal>
            <c:numRef>
              <c:f>'Linear Trend'!$C$4:$C$29</c:f>
              <c:numCache>
                <c:formatCode>General</c:formatCode>
                <c:ptCount val="26"/>
                <c:pt idx="0">
                  <c:v>113</c:v>
                </c:pt>
                <c:pt idx="1">
                  <c:v>116</c:v>
                </c:pt>
                <c:pt idx="2">
                  <c:v>118</c:v>
                </c:pt>
                <c:pt idx="3">
                  <c:v>119</c:v>
                </c:pt>
                <c:pt idx="4">
                  <c:v>123</c:v>
                </c:pt>
                <c:pt idx="5">
                  <c:v>125</c:v>
                </c:pt>
                <c:pt idx="6">
                  <c:v>126</c:v>
                </c:pt>
                <c:pt idx="7">
                  <c:v>128</c:v>
                </c:pt>
                <c:pt idx="8">
                  <c:v>131</c:v>
                </c:pt>
                <c:pt idx="9">
                  <c:v>133</c:v>
                </c:pt>
                <c:pt idx="10">
                  <c:v>136</c:v>
                </c:pt>
                <c:pt idx="11">
                  <c:v>140</c:v>
                </c:pt>
                <c:pt idx="12">
                  <c:v>140</c:v>
                </c:pt>
                <c:pt idx="13">
                  <c:v>140</c:v>
                </c:pt>
                <c:pt idx="14">
                  <c:v>136</c:v>
                </c:pt>
                <c:pt idx="15">
                  <c:v>137</c:v>
                </c:pt>
                <c:pt idx="16">
                  <c:v>138</c:v>
                </c:pt>
                <c:pt idx="17">
                  <c:v>135</c:v>
                </c:pt>
                <c:pt idx="18">
                  <c:v>135</c:v>
                </c:pt>
                <c:pt idx="19">
                  <c:v>135</c:v>
                </c:pt>
                <c:pt idx="20">
                  <c:v>140</c:v>
                </c:pt>
                <c:pt idx="21">
                  <c:v>141</c:v>
                </c:pt>
                <c:pt idx="22">
                  <c:v>145</c:v>
                </c:pt>
                <c:pt idx="23">
                  <c:v>145</c:v>
                </c:pt>
                <c:pt idx="24">
                  <c:v>145</c:v>
                </c:pt>
                <c:pt idx="25">
                  <c:v>146</c:v>
                </c:pt>
              </c:numCache>
            </c:numRef>
          </c:yVal>
          <c:smooth val="0"/>
          <c:extLst>
            <c:ext xmlns:c16="http://schemas.microsoft.com/office/drawing/2014/chart" uri="{C3380CC4-5D6E-409C-BE32-E72D297353CC}">
              <c16:uniqueId val="{00000000-0938-BB49-9A56-D809ACE73DED}"/>
            </c:ext>
          </c:extLst>
        </c:ser>
        <c:dLbls>
          <c:showLegendKey val="0"/>
          <c:showVal val="0"/>
          <c:showCatName val="0"/>
          <c:showSerName val="0"/>
          <c:showPercent val="0"/>
          <c:showBubbleSize val="0"/>
        </c:dLbls>
        <c:axId val="1274619183"/>
        <c:axId val="1136276063"/>
      </c:scatterChart>
      <c:valAx>
        <c:axId val="1274619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276063"/>
        <c:crosses val="autoZero"/>
        <c:crossBetween val="midCat"/>
      </c:valAx>
      <c:valAx>
        <c:axId val="1136276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61918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'Linear Practice 1'!$D$3</c:f>
              <c:strCache>
                <c:ptCount val="1"/>
                <c:pt idx="0">
                  <c:v> Unemployment Rate (%)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'Linear Practice 1'!$C$4:$C$14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'Linear Practice 1'!$D$4:$D$14</c:f>
              <c:numCache>
                <c:formatCode>General</c:formatCode>
                <c:ptCount val="11"/>
                <c:pt idx="0">
                  <c:v>9.5</c:v>
                </c:pt>
                <c:pt idx="1">
                  <c:v>9.4</c:v>
                </c:pt>
                <c:pt idx="2">
                  <c:v>9.1</c:v>
                </c:pt>
                <c:pt idx="3">
                  <c:v>8.1999999999999993</c:v>
                </c:pt>
                <c:pt idx="4">
                  <c:v>7.5</c:v>
                </c:pt>
                <c:pt idx="5">
                  <c:v>6.1</c:v>
                </c:pt>
                <c:pt idx="6">
                  <c:v>5.3</c:v>
                </c:pt>
                <c:pt idx="7">
                  <c:v>4.9000000000000004</c:v>
                </c:pt>
                <c:pt idx="8">
                  <c:v>4.3</c:v>
                </c:pt>
                <c:pt idx="9">
                  <c:v>4</c:v>
                </c:pt>
                <c:pt idx="10">
                  <c:v>3.6</c:v>
                </c:pt>
              </c:numCache>
            </c:numRef>
          </c:yVal>
          <c:smooth val="0"/>
          <c:extLst>
            <c:ext xmlns:c16="http://schemas.microsoft.com/office/drawing/2014/chart" uri="{C3380CC4-5D6E-409C-BE32-E72D297353CC}">
              <c16:uniqueId val="{00000000-B086-E340-A9F3-F3387F612451}"/>
            </c:ext>
          </c:extLst>
        </c:ser>
        <c:dLbls>
          <c:showLegendKey val="0"/>
          <c:showVal val="0"/>
          <c:showCatName val="0"/>
          <c:showSerName val="0"/>
          <c:showPercent val="0"/>
          <c:showBubbleSize val="0"/>
        </c:dLbls>
        <c:axId val="1093924559"/>
        <c:axId val="1260996239"/>
      </c:scatterChart>
      <c:valAx>
        <c:axId val="109392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996239"/>
        <c:crosses val="autoZero"/>
        <c:crossBetween val="midCat"/>
      </c:valAx>
      <c:valAx>
        <c:axId val="126099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245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'Linear Practice 2'!$M$18</c:f>
              <c:strCache>
                <c:ptCount val="1"/>
                <c:pt idx="0">
                  <c:v>SAT_COMBINED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4.1777996500437446E-2"/>
                  <c:y val="0.285287255759696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'Linear Practice 2'!$L$19:$L$35</c:f>
              <c:numCache>
                <c:formatCode>0.00</c:formatCode>
                <c:ptCount val="17"/>
                <c:pt idx="0">
                  <c:v>3.79</c:v>
                </c:pt>
                <c:pt idx="1">
                  <c:v>2.77</c:v>
                </c:pt>
                <c:pt idx="2">
                  <c:v>4.0199999999999996</c:v>
                </c:pt>
                <c:pt idx="3">
                  <c:v>3.02</c:v>
                </c:pt>
                <c:pt idx="4">
                  <c:v>3.42</c:v>
                </c:pt>
                <c:pt idx="5">
                  <c:v>2.96</c:v>
                </c:pt>
                <c:pt idx="6">
                  <c:v>2.44</c:v>
                </c:pt>
                <c:pt idx="7">
                  <c:v>3.19</c:v>
                </c:pt>
                <c:pt idx="8">
                  <c:v>4.2</c:v>
                </c:pt>
                <c:pt idx="9">
                  <c:v>3.31</c:v>
                </c:pt>
                <c:pt idx="10">
                  <c:v>2.4</c:v>
                </c:pt>
                <c:pt idx="11">
                  <c:v>3.7</c:v>
                </c:pt>
                <c:pt idx="12">
                  <c:v>3.47</c:v>
                </c:pt>
                <c:pt idx="13">
                  <c:v>3.31</c:v>
                </c:pt>
                <c:pt idx="14">
                  <c:v>3.74</c:v>
                </c:pt>
                <c:pt idx="15">
                  <c:v>3.06</c:v>
                </c:pt>
                <c:pt idx="16">
                  <c:v>2.7</c:v>
                </c:pt>
              </c:numCache>
            </c:numRef>
          </c:xVal>
          <c:yVal>
            <c:numRef>
              <c:f>'Linear Practice 2'!$M$19:$M$35</c:f>
              <c:numCache>
                <c:formatCode>0.00</c:formatCode>
                <c:ptCount val="17"/>
                <c:pt idx="0">
                  <c:v>1150</c:v>
                </c:pt>
                <c:pt idx="1">
                  <c:v>1020</c:v>
                </c:pt>
                <c:pt idx="2">
                  <c:v>1200</c:v>
                </c:pt>
                <c:pt idx="3">
                  <c:v>950</c:v>
                </c:pt>
                <c:pt idx="4">
                  <c:v>1250</c:v>
                </c:pt>
                <c:pt idx="5">
                  <c:v>930</c:v>
                </c:pt>
                <c:pt idx="6">
                  <c:v>1010</c:v>
                </c:pt>
                <c:pt idx="7">
                  <c:v>970</c:v>
                </c:pt>
                <c:pt idx="8">
                  <c:v>1240</c:v>
                </c:pt>
                <c:pt idx="9">
                  <c:v>1070</c:v>
                </c:pt>
                <c:pt idx="10">
                  <c:v>1140</c:v>
                </c:pt>
                <c:pt idx="11">
                  <c:v>1280</c:v>
                </c:pt>
                <c:pt idx="12">
                  <c:v>1110</c:v>
                </c:pt>
                <c:pt idx="13">
                  <c:v>1300</c:v>
                </c:pt>
                <c:pt idx="14">
                  <c:v>990</c:v>
                </c:pt>
                <c:pt idx="15">
                  <c:v>1030</c:v>
                </c:pt>
                <c:pt idx="16">
                  <c:v>1190</c:v>
                </c:pt>
              </c:numCache>
            </c:numRef>
          </c:yVal>
          <c:smooth val="0"/>
          <c:extLst>
            <c:ext xmlns:c16="http://schemas.microsoft.com/office/drawing/2014/chart" uri="{C3380CC4-5D6E-409C-BE32-E72D297353CC}">
              <c16:uniqueId val="{00000000-E4CE-8F4D-9B52-01353D1146C3}"/>
            </c:ext>
          </c:extLst>
        </c:ser>
        <c:dLbls>
          <c:showLegendKey val="0"/>
          <c:showVal val="0"/>
          <c:showCatName val="0"/>
          <c:showSerName val="0"/>
          <c:showPercent val="0"/>
          <c:showBubbleSize val="0"/>
        </c:dLbls>
        <c:axId val="1279311951"/>
        <c:axId val="1279336735"/>
      </c:scatterChart>
      <c:valAx>
        <c:axId val="12793119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6735"/>
        <c:crosses val="autoZero"/>
        <c:crossBetween val="midCat"/>
      </c:valAx>
      <c:valAx>
        <c:axId val="1279336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119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363873</xdr:colOff>
      <xdr:row>2</xdr:row>
      <xdr:rowOff>95006</xdr:rowOff>
    </xdr:from>
    <xdr:to>
      <xdr:col>16</xdr:col>
      <xdr:colOff>137583</xdr:colOff>
      <xdr:row>21</xdr:row>
      <xdr:rowOff>179915</xdr:rowOff>
    </xdr:to>
    <xdr:sp macro="" textlink="">
      <xdr:nvSpPr>
        <xdr:cNvPr id="4" name="TextBox 3">
          <a:extLst>
            <a:ext uri="{FF2B5EF4-FFF2-40B4-BE49-F238E27FC236}">
              <a16:creationId xmlns:a16="http://schemas.microsoft.com/office/drawing/2014/main" id="{3E4567C3-CB7E-F652-0866-9F7C17DF32C1}"/>
            </a:ext>
          </a:extLst>
        </xdr:cNvPr>
        <xdr:cNvSpPr txBox="1"/>
      </xdr:nvSpPr>
      <xdr:spPr>
        <a:xfrm>
          <a:off x="5306290" y="486589"/>
          <a:ext cx="7182043" cy="4445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28600" indent="-228600">
            <a:buFont typeface="+mj-lt"/>
            <a:buAutoNum type="arabicPeriod"/>
          </a:pPr>
          <a:r>
            <a:rPr lang="en-US" sz="1200" b="0" i="0" u="none" strike="noStrike">
              <a:solidFill>
                <a:schemeClr val="dk1"/>
              </a:solidFill>
              <a:effectLst/>
              <a:latin typeface="+mn-lt"/>
              <a:ea typeface="+mn-ea"/>
              <a:cs typeface="+mn-cs"/>
            </a:rPr>
            <a:t>Reformat the data so that 1994 is </a:t>
          </a:r>
          <a:r>
            <a:rPr lang="en-US" sz="1200" b="0" i="1" u="none" strike="noStrike">
              <a:solidFill>
                <a:schemeClr val="dk1"/>
              </a:solidFill>
              <a:effectLst/>
              <a:latin typeface="+mn-lt"/>
              <a:ea typeface="+mn-ea"/>
              <a:cs typeface="+mn-cs"/>
            </a:rPr>
            <a:t>x</a:t>
          </a:r>
          <a:r>
            <a:rPr lang="en-US" sz="1200" b="0" i="0" u="none" strike="noStrike">
              <a:solidFill>
                <a:schemeClr val="dk1"/>
              </a:solidFill>
              <a:effectLst/>
              <a:latin typeface="+mn-lt"/>
              <a:ea typeface="+mn-ea"/>
              <a:cs typeface="+mn-cs"/>
            </a:rPr>
            <a:t> = 0 </a:t>
          </a:r>
          <a:r>
            <a:rPr lang="en-US" sz="1200"/>
            <a:t> </a:t>
          </a:r>
        </a:p>
        <a:p>
          <a:pPr marL="228600" indent="-228600">
            <a:buFont typeface="+mj-lt"/>
            <a:buAutoNum type="arabicPeriod"/>
          </a:pPr>
          <a:r>
            <a:rPr lang="en-US" sz="1200" b="0" i="0" u="none" strike="noStrike">
              <a:solidFill>
                <a:schemeClr val="dk1"/>
              </a:solidFill>
              <a:effectLst/>
              <a:latin typeface="+mn-lt"/>
              <a:ea typeface="+mn-ea"/>
              <a:cs typeface="+mn-cs"/>
            </a:rPr>
            <a:t>Create a scatterplot for the data  </a:t>
          </a:r>
          <a:r>
            <a:rPr lang="en-US" sz="1200"/>
            <a:t> </a:t>
          </a:r>
        </a:p>
        <a:p>
          <a:pPr marL="228600" indent="-228600">
            <a:buFont typeface="+mj-lt"/>
            <a:buAutoNum type="arabicPeriod"/>
          </a:pPr>
          <a:r>
            <a:rPr lang="en-US" sz="1200" b="0" i="0" u="none" strike="noStrike">
              <a:solidFill>
                <a:schemeClr val="dk1"/>
              </a:solidFill>
              <a:effectLst/>
              <a:latin typeface="+mn-lt"/>
              <a:ea typeface="+mn-ea"/>
              <a:cs typeface="+mn-cs"/>
            </a:rPr>
            <a:t>Put a linear trendline on the scatterplot and display the equation </a:t>
          </a:r>
          <a:r>
            <a:rPr lang="en-US" sz="1200"/>
            <a:t> </a:t>
          </a:r>
          <a:r>
            <a:rPr lang="en-US" sz="1200" b="1">
              <a:solidFill>
                <a:srgbClr val="FF0000"/>
              </a:solidFill>
            </a:rPr>
            <a:t>y = 1.1426x+119.03</a:t>
          </a:r>
        </a:p>
        <a:p>
          <a:pPr marL="228600" indent="-228600">
            <a:buFont typeface="+mj-lt"/>
            <a:buAutoNum type="arabicPeriod"/>
          </a:pPr>
          <a:r>
            <a:rPr lang="en-US" sz="1200" b="0" i="0" u="none" strike="noStrike">
              <a:solidFill>
                <a:schemeClr val="dk1"/>
              </a:solidFill>
              <a:effectLst/>
              <a:latin typeface="+mn-lt"/>
              <a:ea typeface="+mn-ea"/>
              <a:cs typeface="+mn-cs"/>
            </a:rPr>
            <a:t>Find the estimated y values </a:t>
          </a:r>
        </a:p>
        <a:p>
          <a:pPr marL="228600" indent="-228600">
            <a:buFont typeface="+mj-lt"/>
            <a:buAutoNum type="arabicPeriod"/>
          </a:pPr>
          <a:r>
            <a:rPr lang="en-US" sz="1200" b="0" i="0" u="none" strike="noStrike">
              <a:solidFill>
                <a:schemeClr val="dk1"/>
              </a:solidFill>
              <a:effectLst/>
              <a:latin typeface="+mn-lt"/>
              <a:ea typeface="+mn-ea"/>
              <a:cs typeface="+mn-cs"/>
            </a:rPr>
            <a:t>Find the residual squared</a:t>
          </a:r>
          <a:r>
            <a:rPr lang="en-US" sz="1200"/>
            <a:t> values</a:t>
          </a:r>
        </a:p>
        <a:p>
          <a:pPr marL="228600" indent="-228600">
            <a:buFont typeface="+mj-lt"/>
            <a:buAutoNum type="arabicPeriod"/>
          </a:pPr>
          <a:r>
            <a:rPr lang="en-US" sz="1200" b="0" i="0" u="none" strike="noStrike">
              <a:solidFill>
                <a:schemeClr val="dk1"/>
              </a:solidFill>
              <a:effectLst/>
              <a:latin typeface="+mn-lt"/>
              <a:ea typeface="+mn-ea"/>
              <a:cs typeface="+mn-cs"/>
            </a:rPr>
            <a:t>Calculate the total error </a:t>
          </a:r>
          <a:r>
            <a:rPr lang="en-US" sz="1200"/>
            <a:t> </a:t>
          </a:r>
          <a:r>
            <a:rPr lang="en-US" sz="1200" b="1">
              <a:solidFill>
                <a:srgbClr val="FF0000"/>
              </a:solidFill>
            </a:rPr>
            <a:t>372.3144</a:t>
          </a:r>
        </a:p>
        <a:p>
          <a:pPr marL="228600" indent="-228600">
            <a:buFont typeface="+mj-lt"/>
            <a:buAutoNum type="arabicPeriod"/>
          </a:pPr>
          <a:r>
            <a:rPr lang="en-US" sz="1200" b="0" i="0" u="none" strike="noStrike">
              <a:solidFill>
                <a:schemeClr val="dk1"/>
              </a:solidFill>
              <a:effectLst/>
              <a:latin typeface="+mn-lt"/>
              <a:ea typeface="+mn-ea"/>
              <a:cs typeface="+mn-cs"/>
            </a:rPr>
            <a:t>Use the trendline to estimate the values for 2022.</a:t>
          </a:r>
          <a:r>
            <a:rPr lang="en-US" sz="1200" b="0" i="0" u="none" strike="noStrike" baseline="0">
              <a:solidFill>
                <a:schemeClr val="dk1"/>
              </a:solidFill>
              <a:effectLst/>
              <a:latin typeface="+mn-lt"/>
              <a:ea typeface="+mn-ea"/>
              <a:cs typeface="+mn-cs"/>
            </a:rPr>
            <a:t> The actual consumption was 139 billion. Is this close to the estimate? What does this mean about the usefulness of the trendline? </a:t>
          </a:r>
          <a:r>
            <a:rPr lang="en-US" sz="1200" b="1" i="0" u="none" strike="noStrike" baseline="0">
              <a:solidFill>
                <a:srgbClr val="FF0000"/>
              </a:solidFill>
              <a:effectLst/>
              <a:latin typeface="+mn-lt"/>
              <a:ea typeface="+mn-ea"/>
              <a:cs typeface="+mn-cs"/>
            </a:rPr>
            <a:t>Estimate is 151.0228 billion gallons. This is much higher than the actual consumption. This means that the trendline is not very useful at predicting values outside of the given data values. It should not be used to extrapolate or predict. </a:t>
          </a:r>
          <a:endParaRPr lang="en-US" sz="1200" b="1">
            <a:solidFill>
              <a:srgbClr val="FF0000"/>
            </a:solidFill>
          </a:endParaRPr>
        </a:p>
        <a:p>
          <a:pPr marL="228600" indent="-228600">
            <a:buFont typeface="+mj-lt"/>
            <a:buAutoNum type="arabicPeriod"/>
          </a:pPr>
          <a:r>
            <a:rPr lang="en-US" sz="1200"/>
            <a:t>Interpret</a:t>
          </a:r>
          <a:r>
            <a:rPr lang="en-US" sz="1200" baseline="0"/>
            <a:t> the meaning of the y-intercept. </a:t>
          </a:r>
          <a:r>
            <a:rPr lang="en-US" sz="1200" b="1" baseline="0">
              <a:solidFill>
                <a:srgbClr val="FF0000"/>
              </a:solidFill>
            </a:rPr>
            <a:t>The y-intercept is 119.03. It means in 1994, the consumption was 119.03 billions of gallons. This is higher than the actual consumption in 1994. </a:t>
          </a:r>
        </a:p>
        <a:p>
          <a:pPr marL="228600" indent="-228600">
            <a:buFont typeface="+mj-lt"/>
            <a:buAutoNum type="arabicPeriod"/>
          </a:pPr>
          <a:r>
            <a:rPr lang="en-US" sz="1200" baseline="0"/>
            <a:t>Interpret the meaning of the slope </a:t>
          </a:r>
          <a:r>
            <a:rPr lang="en-US" sz="1200" b="1" baseline="0">
              <a:solidFill>
                <a:srgbClr val="FF0000"/>
              </a:solidFill>
            </a:rPr>
            <a:t>The slope is 1.1426. This means that in the United States every year, the gasoline consumption increases by 1.1426 billion gallons. </a:t>
          </a:r>
        </a:p>
      </xdr:txBody>
    </xdr:sp>
    <xdr:clientData/>
  </xdr:twoCellAnchor>
  <xdr:twoCellAnchor>
    <xdr:from>
      <xdr:col>6</xdr:col>
      <xdr:colOff>37041</xdr:colOff>
      <xdr:row>23</xdr:row>
      <xdr:rowOff>62442</xdr:rowOff>
    </xdr:from>
    <xdr:to>
      <xdr:col>11</xdr:col>
      <xdr:colOff>587375</xdr:colOff>
      <xdr:row>37</xdr:row>
      <xdr:rowOff>75142</xdr:rowOff>
    </xdr:to>
    <xdr:graphicFrame macro="">
      <xdr:nvGraphicFramePr>
        <xdr:cNvPr id="2" name="Chart 1">
          <a:extLst>
            <a:ext uri="{FF2B5EF4-FFF2-40B4-BE49-F238E27FC236}">
              <a16:creationId xmlns:a16="http://schemas.microsoft.com/office/drawing/2014/main" id="{40BCBCBF-4C75-14E3-36A4-B3F37DA95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10583</xdr:colOff>
      <xdr:row>2</xdr:row>
      <xdr:rowOff>237067</xdr:rowOff>
    </xdr:from>
    <xdr:ext cx="7112000" cy="2894382"/>
    <xdr:sp macro="" textlink="">
      <xdr:nvSpPr>
        <xdr:cNvPr id="3" name="TextBox 2">
          <a:extLst>
            <a:ext uri="{FF2B5EF4-FFF2-40B4-BE49-F238E27FC236}">
              <a16:creationId xmlns:a16="http://schemas.microsoft.com/office/drawing/2014/main" id="{BFC51A96-9F7B-CEA6-6DE3-2466DC3DEB8E}"/>
            </a:ext>
          </a:extLst>
        </xdr:cNvPr>
        <xdr:cNvSpPr txBox="1"/>
      </xdr:nvSpPr>
      <xdr:spPr>
        <a:xfrm>
          <a:off x="6900333" y="723900"/>
          <a:ext cx="7112000" cy="289438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228600" indent="-228600">
            <a:buFont typeface="+mj-lt"/>
            <a:buAutoNum type="arabicPeriod"/>
          </a:pPr>
          <a:r>
            <a:rPr lang="en-US" sz="1200" b="0" i="0" u="none" strike="noStrike">
              <a:solidFill>
                <a:schemeClr val="dk1"/>
              </a:solidFill>
              <a:effectLst/>
              <a:latin typeface="+mn-lt"/>
              <a:ea typeface="+mn-ea"/>
              <a:cs typeface="+mn-cs"/>
            </a:rPr>
            <a:t>Reformat the data so that</a:t>
          </a:r>
          <a:r>
            <a:rPr lang="en-US" sz="1200" b="0" i="0" u="none" strike="noStrike" baseline="0">
              <a:solidFill>
                <a:schemeClr val="dk1"/>
              </a:solidFill>
              <a:effectLst/>
              <a:latin typeface="+mn-lt"/>
              <a:ea typeface="+mn-ea"/>
              <a:cs typeface="+mn-cs"/>
            </a:rPr>
            <a:t> 2009</a:t>
          </a:r>
          <a:r>
            <a:rPr lang="en-US" sz="1200" b="0" i="0" u="none" strike="noStrike">
              <a:solidFill>
                <a:schemeClr val="dk1"/>
              </a:solidFill>
              <a:effectLst/>
              <a:latin typeface="+mn-lt"/>
              <a:ea typeface="+mn-ea"/>
              <a:cs typeface="+mn-cs"/>
            </a:rPr>
            <a:t> is </a:t>
          </a:r>
          <a:r>
            <a:rPr lang="en-US" sz="1200" b="0" i="1" u="none" strike="noStrike">
              <a:solidFill>
                <a:schemeClr val="dk1"/>
              </a:solidFill>
              <a:effectLst/>
              <a:latin typeface="+mn-lt"/>
              <a:ea typeface="+mn-ea"/>
              <a:cs typeface="+mn-cs"/>
            </a:rPr>
            <a:t>x</a:t>
          </a:r>
          <a:r>
            <a:rPr lang="en-US" sz="1200" b="0" i="0" u="none" strike="noStrike">
              <a:solidFill>
                <a:schemeClr val="dk1"/>
              </a:solidFill>
              <a:effectLst/>
              <a:latin typeface="+mn-lt"/>
              <a:ea typeface="+mn-ea"/>
              <a:cs typeface="+mn-cs"/>
            </a:rPr>
            <a:t> = 0 </a:t>
          </a:r>
          <a:r>
            <a:rPr lang="en-US" sz="1200"/>
            <a:t> </a:t>
          </a:r>
        </a:p>
        <a:p>
          <a:pPr marL="228600" indent="-228600">
            <a:buFont typeface="+mj-lt"/>
            <a:buAutoNum type="arabicPeriod"/>
          </a:pPr>
          <a:r>
            <a:rPr lang="en-US" sz="1200" b="0" i="0" u="none" strike="noStrike">
              <a:solidFill>
                <a:schemeClr val="dk1"/>
              </a:solidFill>
              <a:effectLst/>
              <a:latin typeface="+mn-lt"/>
              <a:ea typeface="+mn-ea"/>
              <a:cs typeface="+mn-cs"/>
            </a:rPr>
            <a:t>Create a scatterplot for the data  </a:t>
          </a:r>
          <a:r>
            <a:rPr lang="en-US" sz="1200"/>
            <a:t> </a:t>
          </a:r>
        </a:p>
        <a:p>
          <a:pPr marL="228600" indent="-228600">
            <a:buFont typeface="+mj-lt"/>
            <a:buAutoNum type="arabicPeriod"/>
          </a:pPr>
          <a:r>
            <a:rPr lang="en-US" sz="1200" b="0" i="0" u="none" strike="noStrike">
              <a:solidFill>
                <a:schemeClr val="dk1"/>
              </a:solidFill>
              <a:effectLst/>
              <a:latin typeface="+mn-lt"/>
              <a:ea typeface="+mn-ea"/>
              <a:cs typeface="+mn-cs"/>
            </a:rPr>
            <a:t>Put a linear trendline on the scatterplot and display the equation </a:t>
          </a:r>
          <a:r>
            <a:rPr lang="en-US" sz="1200"/>
            <a:t> </a:t>
          </a:r>
          <a:r>
            <a:rPr lang="en-US" sz="1200" b="1">
              <a:solidFill>
                <a:srgbClr val="FF0000"/>
              </a:solidFill>
            </a:rPr>
            <a:t>y = -0.6755x</a:t>
          </a:r>
          <a:r>
            <a:rPr lang="en-US" sz="1200" b="1" baseline="0">
              <a:solidFill>
                <a:srgbClr val="FF0000"/>
              </a:solidFill>
            </a:rPr>
            <a:t> + 9.9136</a:t>
          </a:r>
          <a:endParaRPr lang="en-US" sz="1200" b="1">
            <a:solidFill>
              <a:srgbClr val="FF0000"/>
            </a:solidFill>
          </a:endParaRPr>
        </a:p>
        <a:p>
          <a:pPr marL="228600" indent="-228600">
            <a:buFont typeface="+mj-lt"/>
            <a:buAutoNum type="arabicPeriod"/>
          </a:pPr>
          <a:r>
            <a:rPr lang="en-US" sz="1200" b="0" i="0" u="none" strike="noStrike">
              <a:solidFill>
                <a:schemeClr val="dk1"/>
              </a:solidFill>
              <a:effectLst/>
              <a:latin typeface="+mn-lt"/>
              <a:ea typeface="+mn-ea"/>
              <a:cs typeface="+mn-cs"/>
            </a:rPr>
            <a:t>Find the estimated y values </a:t>
          </a:r>
        </a:p>
        <a:p>
          <a:pPr marL="228600" indent="-228600">
            <a:buFont typeface="+mj-lt"/>
            <a:buAutoNum type="arabicPeriod"/>
          </a:pPr>
          <a:r>
            <a:rPr lang="en-US" sz="1200" b="0" i="0" u="none" strike="noStrike">
              <a:solidFill>
                <a:schemeClr val="dk1"/>
              </a:solidFill>
              <a:effectLst/>
              <a:latin typeface="+mn-lt"/>
              <a:ea typeface="+mn-ea"/>
              <a:cs typeface="+mn-cs"/>
            </a:rPr>
            <a:t>Find the residual squared</a:t>
          </a:r>
          <a:r>
            <a:rPr lang="en-US" sz="1200"/>
            <a:t> values</a:t>
          </a:r>
        </a:p>
        <a:p>
          <a:pPr marL="228600" indent="-228600">
            <a:buFont typeface="+mj-lt"/>
            <a:buAutoNum type="arabicPeriod"/>
          </a:pPr>
          <a:r>
            <a:rPr lang="en-US" sz="1200" b="0" i="0" u="none" strike="noStrike">
              <a:solidFill>
                <a:schemeClr val="dk1"/>
              </a:solidFill>
              <a:effectLst/>
              <a:latin typeface="+mn-lt"/>
              <a:ea typeface="+mn-ea"/>
              <a:cs typeface="+mn-cs"/>
            </a:rPr>
            <a:t>Calculate the total error </a:t>
          </a:r>
          <a:r>
            <a:rPr lang="en-US" sz="1200"/>
            <a:t> </a:t>
          </a:r>
          <a:r>
            <a:rPr lang="en-US" sz="1200" b="1">
              <a:solidFill>
                <a:srgbClr val="FF0000"/>
              </a:solidFill>
            </a:rPr>
            <a:t>1.519</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US" sz="1200" b="0" i="0" u="none" strike="noStrike">
              <a:solidFill>
                <a:schemeClr val="dk1"/>
              </a:solidFill>
              <a:effectLst/>
              <a:latin typeface="+mn-lt"/>
              <a:ea typeface="+mn-ea"/>
              <a:cs typeface="+mn-cs"/>
            </a:rPr>
            <a:t>Use the trendline to estimate the values for 2024.</a:t>
          </a:r>
          <a:r>
            <a:rPr lang="en-US" sz="1200" b="0" i="0" u="none" strike="noStrike" baseline="0">
              <a:solidFill>
                <a:schemeClr val="dk1"/>
              </a:solidFill>
              <a:effectLst/>
              <a:latin typeface="+mn-lt"/>
              <a:ea typeface="+mn-ea"/>
              <a:cs typeface="+mn-cs"/>
            </a:rPr>
            <a:t> The actual unemployment rate was 4.1%.  Is this close to the estimate? What does this mean about the usefulness of the trendline? </a:t>
          </a:r>
          <a:r>
            <a:rPr lang="en-US" sz="1200" b="1" i="0" u="none" strike="noStrike" baseline="0">
              <a:solidFill>
                <a:srgbClr val="FF0000"/>
              </a:solidFill>
              <a:effectLst/>
              <a:latin typeface="+mn-lt"/>
              <a:ea typeface="+mn-ea"/>
              <a:cs typeface="+mn-cs"/>
            </a:rPr>
            <a:t>Estimated value is -0.2189, which is not a possible unemployment rate so it is nonsensical. It is not close to the estimate at all, which tells us that the trendline is not useful for prediciting values outside of the given data values. </a:t>
          </a:r>
          <a:endParaRPr lang="en-US" sz="1200" b="1">
            <a:solidFill>
              <a:srgbClr val="FF0000"/>
            </a:solidFill>
          </a:endParaRPr>
        </a:p>
        <a:p>
          <a:pPr marL="228600" indent="-228600">
            <a:buFont typeface="+mj-lt"/>
            <a:buAutoNum type="arabicPeriod"/>
          </a:pPr>
          <a:r>
            <a:rPr lang="en-US" sz="1200"/>
            <a:t>Interpret</a:t>
          </a:r>
          <a:r>
            <a:rPr lang="en-US" sz="1200" baseline="0"/>
            <a:t> the meaning of the y-intercept </a:t>
          </a:r>
          <a:r>
            <a:rPr lang="en-US" sz="1200" b="1" baseline="0">
              <a:solidFill>
                <a:srgbClr val="FF0000"/>
              </a:solidFill>
            </a:rPr>
            <a:t>The y-intercept is 9.9136. That means that in 2009, the unemployment rate was 9.9136%. This is higher than the actual unemployment rate in 2009. </a:t>
          </a:r>
        </a:p>
        <a:p>
          <a:pPr marL="228600" indent="-228600">
            <a:buFont typeface="+mj-lt"/>
            <a:buAutoNum type="arabicPeriod"/>
          </a:pPr>
          <a:r>
            <a:rPr lang="en-US" sz="1200" baseline="0"/>
            <a:t>Interpret the meaning of the slope </a:t>
          </a:r>
          <a:r>
            <a:rPr lang="en-US" sz="1200" b="1" baseline="0">
              <a:solidFill>
                <a:srgbClr val="FF0000"/>
              </a:solidFill>
            </a:rPr>
            <a:t>The slope is -0.6755 which means that every year the unemployment rate decreases by .6755%. </a:t>
          </a:r>
          <a:endParaRPr lang="en-US" sz="1200" b="1">
            <a:solidFill>
              <a:srgbClr val="FF0000"/>
            </a:solidFill>
          </a:endParaRPr>
        </a:p>
        <a:p>
          <a:endParaRPr lang="en-US" sz="1100"/>
        </a:p>
      </xdr:txBody>
    </xdr:sp>
    <xdr:clientData/>
  </xdr:oneCellAnchor>
  <xdr:twoCellAnchor>
    <xdr:from>
      <xdr:col>4</xdr:col>
      <xdr:colOff>368299</xdr:colOff>
      <xdr:row>21</xdr:row>
      <xdr:rowOff>42334</xdr:rowOff>
    </xdr:from>
    <xdr:to>
      <xdr:col>10</xdr:col>
      <xdr:colOff>175683</xdr:colOff>
      <xdr:row>32</xdr:row>
      <xdr:rowOff>133350</xdr:rowOff>
    </xdr:to>
    <xdr:graphicFrame macro="">
      <xdr:nvGraphicFramePr>
        <xdr:cNvPr id="2" name="Chart 1">
          <a:extLst>
            <a:ext uri="{FF2B5EF4-FFF2-40B4-BE49-F238E27FC236}">
              <a16:creationId xmlns:a16="http://schemas.microsoft.com/office/drawing/2014/main" id="{2800E428-7764-12B6-0B24-44E02E9E3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625928</xdr:colOff>
      <xdr:row>17</xdr:row>
      <xdr:rowOff>70756</xdr:rowOff>
    </xdr:from>
    <xdr:to>
      <xdr:col>21</xdr:col>
      <xdr:colOff>498928</xdr:colOff>
      <xdr:row>31</xdr:row>
      <xdr:rowOff>137885</xdr:rowOff>
    </xdr:to>
    <xdr:graphicFrame macro="">
      <xdr:nvGraphicFramePr>
        <xdr:cNvPr id="2" name="Chart 1">
          <a:extLst>
            <a:ext uri="{FF2B5EF4-FFF2-40B4-BE49-F238E27FC236}">
              <a16:creationId xmlns:a16="http://schemas.microsoft.com/office/drawing/2014/main" id="{E5668673-9C6E-2675-F54B-AAAE8B271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J36"/>
  <sheetViews>
    <sheetView zoomScale="120" zoomScaleNormal="120" workbookViewId="0">
      <selection activeCell="E31" sqref="E31"/>
    </sheetView>
  </sheetViews>
  <sheetFormatPr baseColWidth="10" defaultColWidth="8.83203125" defaultRowHeight="15"/>
  <cols>
    <col min="1" max="1" width="6.6640625" customWidth="1"/>
    <col min="2" max="2" width="7.1640625" customWidth="1"/>
    <col min="3" max="3" width="18.5" customWidth="1"/>
    <col min="4" max="4" width="10.5" customWidth="1"/>
    <col min="6" max="6" width="13" customWidth="1"/>
    <col min="7" max="7" width="17.1640625" customWidth="1"/>
  </cols>
  <sheetData>
    <row r="1" spans="1:10" s="12" customFormat="1" ht="16">
      <c r="A1" s="11" t="s">
        <v>28</v>
      </c>
    </row>
    <row r="3" spans="1:10" ht="58" customHeight="1">
      <c r="B3" s="20" t="s">
        <v>26</v>
      </c>
      <c r="C3" s="21" t="s">
        <v>27</v>
      </c>
      <c r="D3" t="s">
        <v>34</v>
      </c>
      <c r="E3" t="s">
        <v>35</v>
      </c>
    </row>
    <row r="4" spans="1:10" ht="16">
      <c r="B4" s="22">
        <v>0</v>
      </c>
      <c r="C4" s="23">
        <v>113</v>
      </c>
      <c r="D4">
        <f>1.1426*B4+119.03</f>
        <v>119.03</v>
      </c>
      <c r="E4">
        <f>(D4-C4)^2</f>
        <v>36.360900000000015</v>
      </c>
      <c r="J4" s="13"/>
    </row>
    <row r="5" spans="1:10" ht="16">
      <c r="B5" s="22">
        <v>1</v>
      </c>
      <c r="C5" s="23">
        <v>116</v>
      </c>
      <c r="D5">
        <f t="shared" ref="D5:D29" si="0">1.1426*B5+119.03</f>
        <v>120.1726</v>
      </c>
      <c r="E5">
        <f t="shared" ref="E5:E29" si="1">(D5-C5)^2</f>
        <v>17.410590760000023</v>
      </c>
      <c r="J5" s="13"/>
    </row>
    <row r="6" spans="1:10" ht="16">
      <c r="B6" s="22">
        <v>2</v>
      </c>
      <c r="C6" s="23">
        <v>118</v>
      </c>
      <c r="D6">
        <f t="shared" si="0"/>
        <v>121.3152</v>
      </c>
      <c r="E6">
        <f t="shared" si="1"/>
        <v>10.990551040000028</v>
      </c>
      <c r="J6" s="13"/>
    </row>
    <row r="7" spans="1:10" ht="16">
      <c r="B7" s="22">
        <v>3</v>
      </c>
      <c r="C7" s="23">
        <v>119</v>
      </c>
      <c r="D7">
        <f t="shared" si="0"/>
        <v>122.45780000000001</v>
      </c>
      <c r="E7">
        <f t="shared" si="1"/>
        <v>11.956380840000042</v>
      </c>
      <c r="J7" s="13"/>
    </row>
    <row r="8" spans="1:10" ht="16">
      <c r="B8" s="22">
        <v>4</v>
      </c>
      <c r="C8" s="23">
        <v>123</v>
      </c>
      <c r="D8">
        <f t="shared" si="0"/>
        <v>123.60040000000001</v>
      </c>
      <c r="E8">
        <f t="shared" si="1"/>
        <v>0.3604801600000091</v>
      </c>
      <c r="J8" s="13"/>
    </row>
    <row r="9" spans="1:10" ht="16">
      <c r="B9" s="24">
        <v>5</v>
      </c>
      <c r="C9" s="25">
        <v>125</v>
      </c>
      <c r="D9">
        <f t="shared" si="0"/>
        <v>124.74299999999999</v>
      </c>
      <c r="E9">
        <f t="shared" si="1"/>
        <v>6.6049000000002578E-2</v>
      </c>
      <c r="J9" s="13"/>
    </row>
    <row r="10" spans="1:10" ht="16">
      <c r="B10" s="24">
        <v>6</v>
      </c>
      <c r="C10" s="25">
        <v>126</v>
      </c>
      <c r="D10">
        <f t="shared" si="0"/>
        <v>125.8856</v>
      </c>
      <c r="E10">
        <f t="shared" si="1"/>
        <v>1.3087360000000775E-2</v>
      </c>
      <c r="J10" s="13"/>
    </row>
    <row r="11" spans="1:10" ht="16">
      <c r="B11" s="24">
        <v>7</v>
      </c>
      <c r="C11" s="25">
        <v>128</v>
      </c>
      <c r="D11">
        <f t="shared" si="0"/>
        <v>127.0282</v>
      </c>
      <c r="E11">
        <f t="shared" si="1"/>
        <v>0.94439524000000341</v>
      </c>
      <c r="J11" s="13"/>
    </row>
    <row r="12" spans="1:10" ht="16">
      <c r="B12" s="24">
        <v>8</v>
      </c>
      <c r="C12" s="25">
        <v>131</v>
      </c>
      <c r="D12">
        <f t="shared" si="0"/>
        <v>128.17080000000001</v>
      </c>
      <c r="E12">
        <f t="shared" si="1"/>
        <v>8.0043726399999198</v>
      </c>
    </row>
    <row r="13" spans="1:10" ht="16">
      <c r="B13" s="24">
        <v>9</v>
      </c>
      <c r="C13" s="25">
        <v>133</v>
      </c>
      <c r="D13">
        <f t="shared" si="0"/>
        <v>129.3134</v>
      </c>
      <c r="E13">
        <f t="shared" si="1"/>
        <v>13.591019559999989</v>
      </c>
    </row>
    <row r="14" spans="1:10" ht="16">
      <c r="B14" s="24">
        <v>10</v>
      </c>
      <c r="C14" s="25">
        <v>136</v>
      </c>
      <c r="D14">
        <f t="shared" si="0"/>
        <v>130.45599999999999</v>
      </c>
      <c r="E14">
        <f t="shared" si="1"/>
        <v>30.735936000000123</v>
      </c>
    </row>
    <row r="15" spans="1:10" ht="16">
      <c r="B15" s="24">
        <v>11</v>
      </c>
      <c r="C15" s="25">
        <v>140</v>
      </c>
      <c r="D15">
        <f t="shared" si="0"/>
        <v>131.5986</v>
      </c>
      <c r="E15">
        <f t="shared" si="1"/>
        <v>70.583521959999928</v>
      </c>
    </row>
    <row r="16" spans="1:10" ht="16">
      <c r="B16" s="24">
        <v>12</v>
      </c>
      <c r="C16" s="25">
        <v>140</v>
      </c>
      <c r="D16">
        <f t="shared" si="0"/>
        <v>132.74119999999999</v>
      </c>
      <c r="E16">
        <f t="shared" si="1"/>
        <v>52.690177440000113</v>
      </c>
    </row>
    <row r="17" spans="2:5" ht="16">
      <c r="B17" s="24">
        <v>13</v>
      </c>
      <c r="C17" s="25">
        <v>140</v>
      </c>
      <c r="D17">
        <f t="shared" si="0"/>
        <v>133.88380000000001</v>
      </c>
      <c r="E17">
        <f t="shared" si="1"/>
        <v>37.407902439999901</v>
      </c>
    </row>
    <row r="18" spans="2:5" ht="16">
      <c r="B18" s="24">
        <v>14</v>
      </c>
      <c r="C18" s="25">
        <v>136</v>
      </c>
      <c r="D18">
        <f t="shared" si="0"/>
        <v>135.0264</v>
      </c>
      <c r="E18">
        <f t="shared" si="1"/>
        <v>0.94789696000000911</v>
      </c>
    </row>
    <row r="19" spans="2:5" ht="16">
      <c r="B19" s="24">
        <v>15</v>
      </c>
      <c r="C19" s="25">
        <v>137</v>
      </c>
      <c r="D19">
        <f t="shared" si="0"/>
        <v>136.16900000000001</v>
      </c>
      <c r="E19">
        <f>(D19-C19)^2</f>
        <v>0.69056099999998144</v>
      </c>
    </row>
    <row r="20" spans="2:5" ht="16">
      <c r="B20" s="24">
        <v>16</v>
      </c>
      <c r="C20" s="25">
        <v>138</v>
      </c>
      <c r="D20">
        <f t="shared" si="0"/>
        <v>137.3116</v>
      </c>
      <c r="E20">
        <f t="shared" si="1"/>
        <v>0.47389456000000202</v>
      </c>
    </row>
    <row r="21" spans="2:5" ht="16">
      <c r="B21" s="24">
        <v>17</v>
      </c>
      <c r="C21" s="25">
        <v>135</v>
      </c>
      <c r="D21">
        <f t="shared" si="0"/>
        <v>138.45420000000001</v>
      </c>
      <c r="E21">
        <f t="shared" si="1"/>
        <v>11.931497640000099</v>
      </c>
    </row>
    <row r="22" spans="2:5" ht="16">
      <c r="B22" s="24">
        <v>18</v>
      </c>
      <c r="C22" s="25">
        <v>135</v>
      </c>
      <c r="D22">
        <f>1.1426*B22+119.03</f>
        <v>139.5968</v>
      </c>
      <c r="E22">
        <f t="shared" si="1"/>
        <v>21.130570240000015</v>
      </c>
    </row>
    <row r="23" spans="2:5" ht="16">
      <c r="B23" s="24">
        <v>19</v>
      </c>
      <c r="C23" s="25">
        <v>135</v>
      </c>
      <c r="D23">
        <f t="shared" si="0"/>
        <v>140.73939999999999</v>
      </c>
      <c r="E23">
        <f t="shared" si="1"/>
        <v>32.940712359999878</v>
      </c>
    </row>
    <row r="24" spans="2:5" ht="16">
      <c r="B24" s="24">
        <v>20</v>
      </c>
      <c r="C24" s="25">
        <v>140</v>
      </c>
      <c r="D24">
        <f t="shared" si="0"/>
        <v>141.88200000000001</v>
      </c>
      <c r="E24">
        <f t="shared" si="1"/>
        <v>3.5419240000000189</v>
      </c>
    </row>
    <row r="25" spans="2:5" ht="16">
      <c r="B25" s="24">
        <v>21</v>
      </c>
      <c r="C25" s="25">
        <v>141</v>
      </c>
      <c r="D25">
        <f t="shared" si="0"/>
        <v>143.02459999999999</v>
      </c>
      <c r="E25">
        <f t="shared" si="1"/>
        <v>4.0990051599999688</v>
      </c>
    </row>
    <row r="26" spans="2:5" ht="16">
      <c r="B26" s="24">
        <v>22</v>
      </c>
      <c r="C26" s="25">
        <v>145</v>
      </c>
      <c r="D26">
        <f t="shared" si="0"/>
        <v>144.16720000000001</v>
      </c>
      <c r="E26">
        <f t="shared" si="1"/>
        <v>0.69355583999998627</v>
      </c>
    </row>
    <row r="27" spans="2:5" ht="16">
      <c r="B27" s="24">
        <v>23</v>
      </c>
      <c r="C27" s="25">
        <v>145</v>
      </c>
      <c r="D27">
        <f t="shared" si="0"/>
        <v>145.3098</v>
      </c>
      <c r="E27">
        <f t="shared" si="1"/>
        <v>9.5976039999997292E-2</v>
      </c>
    </row>
    <row r="28" spans="2:5" ht="16">
      <c r="B28" s="24">
        <v>24</v>
      </c>
      <c r="C28" s="25">
        <v>145</v>
      </c>
      <c r="D28">
        <f t="shared" si="0"/>
        <v>146.45240000000001</v>
      </c>
      <c r="E28">
        <f t="shared" si="1"/>
        <v>2.1094657600000333</v>
      </c>
    </row>
    <row r="29" spans="2:5" ht="16">
      <c r="B29" s="24">
        <v>25</v>
      </c>
      <c r="C29" s="25">
        <v>146</v>
      </c>
      <c r="D29">
        <f t="shared" si="0"/>
        <v>147.595</v>
      </c>
      <c r="E29">
        <f t="shared" si="1"/>
        <v>2.5440249999999964</v>
      </c>
    </row>
    <row r="31" spans="2:5">
      <c r="D31" t="s">
        <v>36</v>
      </c>
      <c r="E31">
        <f>SUM(E4:E29)</f>
        <v>372.31444900000014</v>
      </c>
    </row>
    <row r="34" spans="3:4">
      <c r="C34">
        <f>2022-1994</f>
        <v>28</v>
      </c>
    </row>
    <row r="36" spans="3:4">
      <c r="C36" t="s">
        <v>37</v>
      </c>
      <c r="D36">
        <f>1.1426*28+119.03</f>
        <v>151.02280000000002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C3:F19"/>
  <sheetViews>
    <sheetView tabSelected="1" topLeftCell="C1" zoomScale="120" zoomScaleNormal="120" workbookViewId="0">
      <selection activeCell="F20" sqref="F20"/>
    </sheetView>
  </sheetViews>
  <sheetFormatPr baseColWidth="10" defaultColWidth="8.83203125" defaultRowHeight="19"/>
  <cols>
    <col min="1" max="3" width="8.83203125" style="1"/>
    <col min="4" max="4" width="18.6640625" style="1" customWidth="1"/>
    <col min="5" max="5" width="13.33203125" style="1" customWidth="1"/>
    <col min="6" max="6" width="14" style="1" customWidth="1"/>
    <col min="7" max="16384" width="8.83203125" style="1"/>
  </cols>
  <sheetData>
    <row r="3" spans="3:6" ht="40">
      <c r="C3" s="14" t="s">
        <v>26</v>
      </c>
      <c r="D3" s="15" t="s">
        <v>33</v>
      </c>
      <c r="E3" s="1" t="s">
        <v>38</v>
      </c>
      <c r="F3" s="1" t="s">
        <v>39</v>
      </c>
    </row>
    <row r="4" spans="3:6">
      <c r="C4" s="16">
        <v>0</v>
      </c>
      <c r="D4" s="17">
        <v>9.5</v>
      </c>
      <c r="E4" s="1">
        <f>-0.6755*C4+9.9136</f>
        <v>9.9136000000000006</v>
      </c>
      <c r="F4" s="1">
        <f>(E4-D4)^2</f>
        <v>0.17106496000000052</v>
      </c>
    </row>
    <row r="5" spans="3:6">
      <c r="C5" s="16">
        <v>1</v>
      </c>
      <c r="D5" s="17">
        <v>9.4</v>
      </c>
      <c r="E5" s="1">
        <f t="shared" ref="E5:E14" si="0">-0.6755*C5+9.9136</f>
        <v>9.2381000000000011</v>
      </c>
      <c r="F5" s="1">
        <f t="shared" ref="F5:F14" si="1">(E5-D5)^2</f>
        <v>2.6211609999999764E-2</v>
      </c>
    </row>
    <row r="6" spans="3:6">
      <c r="C6" s="16">
        <v>2</v>
      </c>
      <c r="D6" s="17">
        <v>9.1</v>
      </c>
      <c r="E6" s="1">
        <f t="shared" si="0"/>
        <v>8.5625999999999998</v>
      </c>
      <c r="F6" s="1">
        <f t="shared" si="1"/>
        <v>0.28879875999999988</v>
      </c>
    </row>
    <row r="7" spans="3:6">
      <c r="C7" s="16">
        <v>3</v>
      </c>
      <c r="D7" s="17">
        <v>8.1999999999999993</v>
      </c>
      <c r="E7" s="1">
        <f t="shared" si="0"/>
        <v>7.8871000000000002</v>
      </c>
      <c r="F7" s="1">
        <f t="shared" si="1"/>
        <v>9.7906409999999416E-2</v>
      </c>
    </row>
    <row r="8" spans="3:6">
      <c r="C8" s="16">
        <v>4</v>
      </c>
      <c r="D8" s="17">
        <v>7.5</v>
      </c>
      <c r="E8" s="1">
        <f t="shared" si="0"/>
        <v>7.2116000000000007</v>
      </c>
      <c r="F8" s="1">
        <f t="shared" si="1"/>
        <v>8.3174559999999606E-2</v>
      </c>
    </row>
    <row r="9" spans="3:6">
      <c r="C9" s="16">
        <v>5</v>
      </c>
      <c r="D9" s="17">
        <v>6.1</v>
      </c>
      <c r="E9" s="1">
        <f t="shared" si="0"/>
        <v>6.5361000000000011</v>
      </c>
      <c r="F9" s="1">
        <f t="shared" si="1"/>
        <v>0.1901832100000013</v>
      </c>
    </row>
    <row r="10" spans="3:6">
      <c r="C10" s="18">
        <v>6</v>
      </c>
      <c r="D10" s="19">
        <v>5.3</v>
      </c>
      <c r="E10" s="1">
        <f t="shared" si="0"/>
        <v>5.8606000000000007</v>
      </c>
      <c r="F10" s="1">
        <f t="shared" si="1"/>
        <v>0.31427236000000097</v>
      </c>
    </row>
    <row r="11" spans="3:6">
      <c r="C11" s="18">
        <v>7</v>
      </c>
      <c r="D11" s="19">
        <v>4.9000000000000004</v>
      </c>
      <c r="E11" s="1">
        <f t="shared" si="0"/>
        <v>5.1851000000000003</v>
      </c>
      <c r="F11" s="1">
        <f t="shared" si="1"/>
        <v>8.1282009999999946E-2</v>
      </c>
    </row>
    <row r="12" spans="3:6">
      <c r="C12" s="18">
        <v>8</v>
      </c>
      <c r="D12" s="19">
        <v>4.3</v>
      </c>
      <c r="E12" s="1">
        <f t="shared" si="0"/>
        <v>4.5096000000000007</v>
      </c>
      <c r="F12" s="1">
        <f t="shared" si="1"/>
        <v>4.3932160000000373E-2</v>
      </c>
    </row>
    <row r="13" spans="3:6">
      <c r="C13" s="18">
        <v>9</v>
      </c>
      <c r="D13" s="19">
        <v>4</v>
      </c>
      <c r="E13" s="1">
        <f t="shared" si="0"/>
        <v>3.8341000000000012</v>
      </c>
      <c r="F13" s="1">
        <f t="shared" si="1"/>
        <v>2.752280999999961E-2</v>
      </c>
    </row>
    <row r="14" spans="3:6">
      <c r="C14" s="18">
        <v>10</v>
      </c>
      <c r="D14" s="19">
        <v>3.6</v>
      </c>
      <c r="E14" s="1">
        <f t="shared" si="0"/>
        <v>3.1586000000000007</v>
      </c>
      <c r="F14" s="1">
        <f t="shared" si="1"/>
        <v>0.19483395999999942</v>
      </c>
    </row>
    <row r="16" spans="3:6">
      <c r="E16" s="1" t="s">
        <v>36</v>
      </c>
      <c r="F16" s="1">
        <f>SUM(F4:F14)</f>
        <v>1.5191828100000007</v>
      </c>
    </row>
    <row r="19" spans="5:6">
      <c r="E19" s="1" t="s">
        <v>40</v>
      </c>
      <c r="F19" s="1">
        <f>-0.6755*15+9.9136</f>
        <v>-0.21889999999999965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S35"/>
  <sheetViews>
    <sheetView topLeftCell="H5" zoomScale="140" zoomScaleNormal="140" workbookViewId="0">
      <selection activeCell="P8" sqref="P8"/>
    </sheetView>
  </sheetViews>
  <sheetFormatPr baseColWidth="10" defaultColWidth="8.83203125" defaultRowHeight="15"/>
  <cols>
    <col min="5" max="5" width="10.83203125" customWidth="1"/>
  </cols>
  <sheetData>
    <row r="1" spans="1:19">
      <c r="A1" s="3" t="s">
        <v>1</v>
      </c>
      <c r="B1" s="3" t="s">
        <v>2</v>
      </c>
      <c r="C1" s="3" t="s">
        <v>3</v>
      </c>
      <c r="D1" s="3" t="s">
        <v>4</v>
      </c>
      <c r="E1" s="4" t="s">
        <v>5</v>
      </c>
      <c r="F1" s="3" t="s">
        <v>6</v>
      </c>
      <c r="G1" s="3" t="s">
        <v>7</v>
      </c>
      <c r="H1" s="3" t="s">
        <v>8</v>
      </c>
      <c r="I1" s="4" t="s">
        <v>9</v>
      </c>
      <c r="J1" s="3" t="s">
        <v>10</v>
      </c>
    </row>
    <row r="2" spans="1:19" ht="19">
      <c r="A2" s="5">
        <v>2</v>
      </c>
      <c r="B2" s="5" t="s">
        <v>11</v>
      </c>
      <c r="C2" s="6">
        <v>620</v>
      </c>
      <c r="D2" s="6">
        <v>530</v>
      </c>
      <c r="E2" s="7">
        <v>1150</v>
      </c>
      <c r="F2" s="6">
        <v>620</v>
      </c>
      <c r="G2" s="5" t="s">
        <v>12</v>
      </c>
      <c r="H2" s="5">
        <v>15</v>
      </c>
      <c r="I2" s="7">
        <v>3.79</v>
      </c>
      <c r="J2" s="5" t="s">
        <v>13</v>
      </c>
      <c r="L2" s="9" t="s">
        <v>22</v>
      </c>
      <c r="M2" s="2"/>
      <c r="N2" s="2"/>
      <c r="O2" s="2"/>
    </row>
    <row r="3" spans="1:19" ht="19">
      <c r="A3" s="5">
        <v>3</v>
      </c>
      <c r="B3" s="5" t="s">
        <v>11</v>
      </c>
      <c r="C3" s="6">
        <v>550</v>
      </c>
      <c r="D3" s="6">
        <v>470</v>
      </c>
      <c r="E3" s="7">
        <v>1020</v>
      </c>
      <c r="F3" s="6">
        <v>560</v>
      </c>
      <c r="G3" s="5" t="s">
        <v>12</v>
      </c>
      <c r="H3" s="5">
        <v>11</v>
      </c>
      <c r="I3" s="7">
        <v>2.77</v>
      </c>
      <c r="J3" s="5" t="s">
        <v>14</v>
      </c>
      <c r="L3" s="1"/>
      <c r="M3" s="1"/>
      <c r="N3" s="1"/>
    </row>
    <row r="4" spans="1:19" ht="19">
      <c r="A4" s="5">
        <v>4</v>
      </c>
      <c r="B4" s="5" t="s">
        <v>0</v>
      </c>
      <c r="C4" s="6">
        <v>590</v>
      </c>
      <c r="D4" s="6">
        <v>610</v>
      </c>
      <c r="E4" s="7">
        <v>1200</v>
      </c>
      <c r="F4" s="6">
        <v>670</v>
      </c>
      <c r="G4" s="5" t="s">
        <v>15</v>
      </c>
      <c r="H4" s="5">
        <v>28</v>
      </c>
      <c r="I4" s="7">
        <v>4.0199999999999996</v>
      </c>
      <c r="J4" s="5" t="s">
        <v>13</v>
      </c>
      <c r="L4" s="1" t="s">
        <v>23</v>
      </c>
      <c r="M4" s="1"/>
      <c r="N4" s="1"/>
      <c r="O4" s="1"/>
      <c r="P4" s="1"/>
    </row>
    <row r="5" spans="1:19" ht="19">
      <c r="A5" s="5">
        <v>5</v>
      </c>
      <c r="B5" s="5" t="s">
        <v>11</v>
      </c>
      <c r="C5" s="6">
        <v>450</v>
      </c>
      <c r="D5" s="6">
        <v>500</v>
      </c>
      <c r="E5" s="7">
        <v>950</v>
      </c>
      <c r="F5" s="6">
        <v>430</v>
      </c>
      <c r="G5" s="5" t="s">
        <v>12</v>
      </c>
      <c r="H5" s="5">
        <v>12</v>
      </c>
      <c r="I5" s="7">
        <v>3.02</v>
      </c>
      <c r="J5" s="5" t="s">
        <v>13</v>
      </c>
      <c r="L5" s="1" t="s">
        <v>24</v>
      </c>
      <c r="M5" s="1"/>
      <c r="N5" s="1"/>
      <c r="O5" s="1"/>
      <c r="P5" s="1"/>
    </row>
    <row r="6" spans="1:19" ht="16">
      <c r="A6" s="5">
        <v>6</v>
      </c>
      <c r="B6" s="5" t="s">
        <v>11</v>
      </c>
      <c r="C6" s="6">
        <v>560</v>
      </c>
      <c r="D6" s="6">
        <v>690</v>
      </c>
      <c r="E6" s="7">
        <v>1250</v>
      </c>
      <c r="F6" s="6">
        <v>520</v>
      </c>
      <c r="G6" s="5" t="s">
        <v>16</v>
      </c>
      <c r="H6" s="5">
        <v>34</v>
      </c>
      <c r="I6" s="7">
        <v>3.42</v>
      </c>
      <c r="J6" s="5" t="s">
        <v>13</v>
      </c>
    </row>
    <row r="7" spans="1:19" ht="19">
      <c r="A7" s="5">
        <v>7</v>
      </c>
      <c r="B7" s="5" t="s">
        <v>11</v>
      </c>
      <c r="C7" s="6">
        <v>440</v>
      </c>
      <c r="D7" s="6">
        <v>490</v>
      </c>
      <c r="E7" s="7">
        <v>930</v>
      </c>
      <c r="F7" s="6">
        <v>510</v>
      </c>
      <c r="G7" s="5" t="s">
        <v>17</v>
      </c>
      <c r="H7" s="5">
        <v>29</v>
      </c>
      <c r="I7" s="7">
        <v>2.96</v>
      </c>
      <c r="J7" s="5" t="s">
        <v>18</v>
      </c>
      <c r="L7" s="1" t="s">
        <v>25</v>
      </c>
    </row>
    <row r="8" spans="1:19" ht="19">
      <c r="A8" s="5">
        <v>8</v>
      </c>
      <c r="B8" s="5" t="s">
        <v>11</v>
      </c>
      <c r="C8" s="6">
        <v>360</v>
      </c>
      <c r="D8" s="6">
        <v>650</v>
      </c>
      <c r="E8" s="7">
        <v>1010</v>
      </c>
      <c r="F8" s="6">
        <v>390</v>
      </c>
      <c r="G8" s="5" t="s">
        <v>12</v>
      </c>
      <c r="H8" s="5">
        <v>30</v>
      </c>
      <c r="I8" s="7">
        <v>2.44</v>
      </c>
      <c r="J8" s="5" t="s">
        <v>19</v>
      </c>
      <c r="L8" s="1" t="s">
        <v>21</v>
      </c>
      <c r="M8" s="1"/>
      <c r="N8" s="1"/>
      <c r="P8" s="26" t="s">
        <v>43</v>
      </c>
    </row>
    <row r="9" spans="1:19" ht="19">
      <c r="A9" s="5">
        <v>9</v>
      </c>
      <c r="B9" s="5" t="s">
        <v>11</v>
      </c>
      <c r="C9" s="6">
        <v>410</v>
      </c>
      <c r="D9" s="6">
        <v>560</v>
      </c>
      <c r="E9" s="7">
        <v>970</v>
      </c>
      <c r="F9" s="6">
        <v>580</v>
      </c>
      <c r="G9" s="5" t="s">
        <v>12</v>
      </c>
      <c r="H9" s="5" t="s">
        <v>12</v>
      </c>
      <c r="I9" s="7">
        <v>3.19</v>
      </c>
      <c r="J9" s="5" t="s">
        <v>13</v>
      </c>
      <c r="L9" s="1"/>
      <c r="M9" s="1"/>
      <c r="N9" s="1"/>
    </row>
    <row r="10" spans="1:19" ht="19">
      <c r="A10" s="5">
        <v>10</v>
      </c>
      <c r="B10" s="5" t="s">
        <v>0</v>
      </c>
      <c r="C10" s="6">
        <v>590</v>
      </c>
      <c r="D10" s="6">
        <v>650</v>
      </c>
      <c r="E10" s="7">
        <v>1240</v>
      </c>
      <c r="F10" s="6">
        <v>580</v>
      </c>
      <c r="G10" s="5" t="s">
        <v>16</v>
      </c>
      <c r="H10" s="5">
        <v>33</v>
      </c>
      <c r="I10" s="7">
        <v>4.2</v>
      </c>
      <c r="J10" s="5" t="s">
        <v>14</v>
      </c>
      <c r="L10" s="1"/>
      <c r="M10" s="1"/>
      <c r="N10" s="1"/>
    </row>
    <row r="11" spans="1:19" ht="19">
      <c r="A11" s="5">
        <v>12</v>
      </c>
      <c r="B11" s="5" t="s">
        <v>11</v>
      </c>
      <c r="C11" s="6">
        <v>490</v>
      </c>
      <c r="D11" s="6">
        <v>580</v>
      </c>
      <c r="E11" s="7">
        <v>1070</v>
      </c>
      <c r="F11" s="6">
        <v>560</v>
      </c>
      <c r="G11" s="5" t="s">
        <v>17</v>
      </c>
      <c r="H11" s="5">
        <v>12</v>
      </c>
      <c r="I11" s="7">
        <v>3.31</v>
      </c>
      <c r="J11" s="5" t="s">
        <v>14</v>
      </c>
      <c r="L11" s="1" t="s">
        <v>29</v>
      </c>
      <c r="M11" s="1"/>
      <c r="N11" s="1"/>
      <c r="S11" s="26">
        <f>98.392*3+786.43</f>
        <v>1081.606</v>
      </c>
    </row>
    <row r="12" spans="1:19" ht="19">
      <c r="A12" s="5">
        <v>13</v>
      </c>
      <c r="B12" s="5" t="s">
        <v>11</v>
      </c>
      <c r="C12" s="6">
        <v>470</v>
      </c>
      <c r="D12" s="6">
        <v>670</v>
      </c>
      <c r="E12" s="7">
        <v>1140</v>
      </c>
      <c r="F12" s="6">
        <v>530</v>
      </c>
      <c r="G12" s="5" t="s">
        <v>20</v>
      </c>
      <c r="H12" s="5">
        <v>26</v>
      </c>
      <c r="I12" s="7">
        <v>2.4</v>
      </c>
      <c r="J12" s="5" t="s">
        <v>19</v>
      </c>
      <c r="L12" s="1" t="s">
        <v>30</v>
      </c>
      <c r="M12" s="1"/>
      <c r="N12" s="1"/>
      <c r="S12" s="26">
        <f>98.392*4+786.43</f>
        <v>1179.998</v>
      </c>
    </row>
    <row r="13" spans="1:19" ht="16">
      <c r="A13" s="5">
        <v>15</v>
      </c>
      <c r="B13" s="5" t="s">
        <v>11</v>
      </c>
      <c r="C13" s="6">
        <v>610</v>
      </c>
      <c r="D13" s="6">
        <v>670</v>
      </c>
      <c r="E13" s="7">
        <v>1280</v>
      </c>
      <c r="F13" s="6">
        <v>580</v>
      </c>
      <c r="G13" s="5" t="s">
        <v>12</v>
      </c>
      <c r="H13" s="5">
        <v>30</v>
      </c>
      <c r="I13" s="7">
        <v>3.7</v>
      </c>
      <c r="J13" s="5" t="s">
        <v>14</v>
      </c>
    </row>
    <row r="14" spans="1:19" ht="19">
      <c r="A14" s="5">
        <v>16</v>
      </c>
      <c r="B14" s="5" t="s">
        <v>11</v>
      </c>
      <c r="C14" s="6">
        <v>580</v>
      </c>
      <c r="D14" s="6">
        <v>530</v>
      </c>
      <c r="E14" s="7">
        <v>1110</v>
      </c>
      <c r="F14" s="6">
        <v>480</v>
      </c>
      <c r="G14" s="5" t="s">
        <v>20</v>
      </c>
      <c r="H14" s="5">
        <v>9</v>
      </c>
      <c r="I14" s="7">
        <v>3.47</v>
      </c>
      <c r="J14" s="5" t="s">
        <v>14</v>
      </c>
      <c r="L14" s="1" t="s">
        <v>31</v>
      </c>
      <c r="Q14" s="26" t="s">
        <v>41</v>
      </c>
    </row>
    <row r="15" spans="1:19" ht="19">
      <c r="A15" s="5">
        <v>17</v>
      </c>
      <c r="B15" s="5" t="s">
        <v>0</v>
      </c>
      <c r="C15" s="6">
        <v>650</v>
      </c>
      <c r="D15" s="6">
        <v>650</v>
      </c>
      <c r="E15" s="7">
        <v>1300</v>
      </c>
      <c r="F15" s="6">
        <v>630</v>
      </c>
      <c r="G15" s="5" t="s">
        <v>20</v>
      </c>
      <c r="H15" s="5">
        <v>32</v>
      </c>
      <c r="I15" s="7">
        <v>3.31</v>
      </c>
      <c r="J15" s="5" t="s">
        <v>14</v>
      </c>
      <c r="L15" s="10" t="s">
        <v>32</v>
      </c>
      <c r="R15" s="26" t="s">
        <v>42</v>
      </c>
    </row>
    <row r="16" spans="1:19" ht="16">
      <c r="A16" s="5">
        <v>18</v>
      </c>
      <c r="B16" s="5" t="s">
        <v>0</v>
      </c>
      <c r="C16" s="6">
        <v>495</v>
      </c>
      <c r="D16" s="6">
        <v>495</v>
      </c>
      <c r="E16" s="7">
        <v>990</v>
      </c>
      <c r="F16" s="8"/>
      <c r="G16" s="5" t="s">
        <v>12</v>
      </c>
      <c r="H16" s="5">
        <v>12</v>
      </c>
      <c r="I16" s="7">
        <v>3.74</v>
      </c>
      <c r="J16" s="5" t="s">
        <v>14</v>
      </c>
    </row>
    <row r="17" spans="1:13" ht="16">
      <c r="A17" s="5">
        <v>19</v>
      </c>
      <c r="B17" s="5" t="s">
        <v>0</v>
      </c>
      <c r="C17" s="6">
        <v>550</v>
      </c>
      <c r="D17" s="6">
        <v>480</v>
      </c>
      <c r="E17" s="7">
        <v>1030</v>
      </c>
      <c r="F17" s="6">
        <v>420</v>
      </c>
      <c r="G17" s="5" t="s">
        <v>15</v>
      </c>
      <c r="H17" s="5">
        <v>17</v>
      </c>
      <c r="I17" s="7">
        <v>3.06</v>
      </c>
      <c r="J17" s="5" t="s">
        <v>14</v>
      </c>
    </row>
    <row r="18" spans="1:13" ht="16">
      <c r="A18" s="5">
        <v>20</v>
      </c>
      <c r="B18" s="5" t="s">
        <v>11</v>
      </c>
      <c r="C18" s="6">
        <v>590</v>
      </c>
      <c r="D18" s="6">
        <v>600</v>
      </c>
      <c r="E18" s="7">
        <v>1190</v>
      </c>
      <c r="F18" s="6">
        <v>480</v>
      </c>
      <c r="G18" s="5" t="s">
        <v>15</v>
      </c>
      <c r="H18" s="5">
        <v>22</v>
      </c>
      <c r="I18" s="7">
        <v>2.7</v>
      </c>
      <c r="J18" s="5" t="s">
        <v>14</v>
      </c>
      <c r="L18" s="4" t="s">
        <v>9</v>
      </c>
      <c r="M18" s="4" t="s">
        <v>5</v>
      </c>
    </row>
    <row r="19" spans="1:13">
      <c r="L19" s="7">
        <v>3.79</v>
      </c>
      <c r="M19" s="7">
        <v>1150</v>
      </c>
    </row>
    <row r="20" spans="1:13">
      <c r="L20" s="7">
        <v>2.77</v>
      </c>
      <c r="M20" s="7">
        <v>1020</v>
      </c>
    </row>
    <row r="21" spans="1:13">
      <c r="L21" s="7">
        <v>4.0199999999999996</v>
      </c>
      <c r="M21" s="7">
        <v>1200</v>
      </c>
    </row>
    <row r="22" spans="1:13">
      <c r="L22" s="7">
        <v>3.02</v>
      </c>
      <c r="M22" s="7">
        <v>950</v>
      </c>
    </row>
    <row r="23" spans="1:13">
      <c r="L23" s="7">
        <v>3.42</v>
      </c>
      <c r="M23" s="7">
        <v>1250</v>
      </c>
    </row>
    <row r="24" spans="1:13">
      <c r="L24" s="7">
        <v>2.96</v>
      </c>
      <c r="M24" s="7">
        <v>930</v>
      </c>
    </row>
    <row r="25" spans="1:13">
      <c r="L25" s="7">
        <v>2.44</v>
      </c>
      <c r="M25" s="7">
        <v>1010</v>
      </c>
    </row>
    <row r="26" spans="1:13">
      <c r="L26" s="7">
        <v>3.19</v>
      </c>
      <c r="M26" s="7">
        <v>970</v>
      </c>
    </row>
    <row r="27" spans="1:13">
      <c r="L27" s="7">
        <v>4.2</v>
      </c>
      <c r="M27" s="7">
        <v>1240</v>
      </c>
    </row>
    <row r="28" spans="1:13">
      <c r="L28" s="7">
        <v>3.31</v>
      </c>
      <c r="M28" s="7">
        <v>1070</v>
      </c>
    </row>
    <row r="29" spans="1:13">
      <c r="L29" s="7">
        <v>2.4</v>
      </c>
      <c r="M29" s="7">
        <v>1140</v>
      </c>
    </row>
    <row r="30" spans="1:13">
      <c r="L30" s="7">
        <v>3.7</v>
      </c>
      <c r="M30" s="7">
        <v>1280</v>
      </c>
    </row>
    <row r="31" spans="1:13">
      <c r="L31" s="7">
        <v>3.47</v>
      </c>
      <c r="M31" s="7">
        <v>1110</v>
      </c>
    </row>
    <row r="32" spans="1:13">
      <c r="L32" s="7">
        <v>3.31</v>
      </c>
      <c r="M32" s="7">
        <v>1300</v>
      </c>
    </row>
    <row r="33" spans="12:13">
      <c r="L33" s="7">
        <v>3.74</v>
      </c>
      <c r="M33" s="7">
        <v>990</v>
      </c>
    </row>
    <row r="34" spans="12:13">
      <c r="L34" s="7">
        <v>3.06</v>
      </c>
      <c r="M34" s="7">
        <v>1030</v>
      </c>
    </row>
    <row r="35" spans="12:13">
      <c r="L35" s="7">
        <v>2.7</v>
      </c>
      <c r="M35" s="7">
        <v>1190</v>
      </c>
    </row>
  </sheetData>
  <pageMargins left="0.7" right="0.7" top="0.75" bottom="0.75" header="0.3" footer="0.3"/>
  <pageSetup orientation="portrait"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Linear Trend</vt:lpstr>
      <vt:lpstr>Linear Practice 1</vt:lpstr>
      <vt:lpstr>Linear Practice 2</vt:lpstr>
    </vt:vector>
  </TitlesOfParts>
  <Company>Bryant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Kaitlyn Hughes</cp:lastModifiedBy>
  <dcterms:created xsi:type="dcterms:W3CDTF">2023-08-27T18:59:52Z</dcterms:created>
  <dcterms:modified xsi:type="dcterms:W3CDTF">2025-01-05T15:51:28Z</dcterms:modified>
</cp:coreProperties>
</file>