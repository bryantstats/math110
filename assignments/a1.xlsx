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math110\assignments\"/>
    </mc:Choice>
  </mc:AlternateContent>
  <xr:revisionPtr revIDLastSave="0" documentId="13_ncr:1_{CFEFDB74-939D-4AC8-9CA4-71AA17E3ADC5}" xr6:coauthVersionLast="47" xr6:coauthVersionMax="47" xr10:uidLastSave="{00000000-0000-0000-0000-000000000000}"/>
  <bookViews>
    <workbookView xWindow="-108" yWindow="-108" windowWidth="30936" windowHeight="17496" activeTab="1" xr2:uid="{C3CEAE92-BBC7-4F10-A170-47154233B770}"/>
  </bookViews>
  <sheets>
    <sheet name="Example" sheetId="8" r:id="rId1"/>
    <sheet name="Example's Solution" sheetId="10" r:id="rId2"/>
    <sheet name="Assignm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10" l="1"/>
  <c r="C129" i="10"/>
  <c r="G81" i="10" l="1"/>
  <c r="G82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F84" i="10"/>
  <c r="F85" i="10"/>
  <c r="F86" i="10"/>
  <c r="F87" i="10"/>
  <c r="F88" i="10"/>
  <c r="F92" i="10"/>
  <c r="F93" i="10"/>
  <c r="F94" i="10"/>
  <c r="F95" i="10"/>
  <c r="F96" i="10"/>
  <c r="E94" i="10"/>
  <c r="E95" i="10"/>
  <c r="D81" i="10"/>
  <c r="E81" i="10" s="1"/>
  <c r="F81" i="10" s="1"/>
  <c r="D82" i="10"/>
  <c r="E82" i="10" s="1"/>
  <c r="F82" i="10" s="1"/>
  <c r="D83" i="10"/>
  <c r="F83" i="10" s="1"/>
  <c r="G83" i="10" s="1"/>
  <c r="G102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F89" i="10" s="1"/>
  <c r="D90" i="10"/>
  <c r="E90" i="10" s="1"/>
  <c r="F90" i="10" s="1"/>
  <c r="D91" i="10"/>
  <c r="E91" i="10" s="1"/>
  <c r="F91" i="10" s="1"/>
  <c r="D92" i="10"/>
  <c r="E92" i="10" s="1"/>
  <c r="D93" i="10"/>
  <c r="E93" i="10" s="1"/>
  <c r="D94" i="10"/>
  <c r="D95" i="10"/>
  <c r="D96" i="10"/>
  <c r="E96" i="10" s="1"/>
  <c r="D97" i="10"/>
  <c r="E97" i="10" s="1"/>
  <c r="F97" i="10" s="1"/>
  <c r="D98" i="10"/>
  <c r="E98" i="10" s="1"/>
  <c r="F98" i="10" s="1"/>
  <c r="D99" i="10"/>
  <c r="E99" i="10" s="1"/>
  <c r="F99" i="10" s="1"/>
</calcChain>
</file>

<file path=xl/sharedStrings.xml><?xml version="1.0" encoding="utf-8"?>
<sst xmlns="http://schemas.openxmlformats.org/spreadsheetml/2006/main" count="49" uniqueCount="38">
  <si>
    <t>Year 
(since 1994)</t>
  </si>
  <si>
    <t>Example</t>
  </si>
  <si>
    <t>DirectTV_Subscribers 
(millions)</t>
  </si>
  <si>
    <t xml:space="preserve">1. Put the data into a table format. </t>
  </si>
  <si>
    <t>2. Plot the scatterplot of the data and show the equation of the best fitted line</t>
  </si>
  <si>
    <t xml:space="preserve">3. Calculate the MAPE of the data.  Intepret the MAPE. </t>
  </si>
  <si>
    <t>4. Use the linear model to predict the DirectTV_Subscribers for 2026</t>
  </si>
  <si>
    <t>Assignment 1</t>
  </si>
  <si>
    <t>Years (Since 1990)</t>
  </si>
  <si>
    <t xml:space="preserve">Given the below data of the Global Land and Ocean December Average Temperature since 1990.  </t>
  </si>
  <si>
    <t>Each value represents the deviation from the 20th-century mean (1901–2000).</t>
  </si>
  <si>
    <t>Anomaly</t>
  </si>
  <si>
    <t>4. Use the linear model to predict the Anomaly for 2026</t>
  </si>
  <si>
    <t>Submission Requirements</t>
  </si>
  <si>
    <t>2. Submit in Excel format only. PDF, JPG, and other file types are not permitted.</t>
  </si>
  <si>
    <t>4. Upload your completed Excel workbook directly to Canvas.</t>
  </si>
  <si>
    <t>1. Your solution should follow the structure of the provided example.</t>
  </si>
  <si>
    <t>3. Your file MUST include formulas. Submissions without active formulas will not be graded.</t>
  </si>
  <si>
    <t xml:space="preserve">Given the below data. </t>
  </si>
  <si>
    <t>Linear Modeling</t>
  </si>
  <si>
    <t>1. Put the data in the table format</t>
  </si>
  <si>
    <t xml:space="preserve">2. Plot the scatterplot and show a linear equation of the best fitted line. </t>
  </si>
  <si>
    <t xml:space="preserve">Notice that in the equation: x presents "Years (since 1994)" and y presents the numbers of subscribers. </t>
  </si>
  <si>
    <t>MAPE: Mean Absolute Percentage Error.</t>
  </si>
  <si>
    <t>Estimation of Subscribers</t>
  </si>
  <si>
    <t>Error of Estimation</t>
  </si>
  <si>
    <t>Absolute Error</t>
  </si>
  <si>
    <t>Absolute Percentage Error (APE)</t>
  </si>
  <si>
    <t>MAPE</t>
  </si>
  <si>
    <t xml:space="preserve">The MAPE is about 31.49%. This means that the estimated values is about 31.49% diviated from the true values. </t>
  </si>
  <si>
    <t xml:space="preserve">This can be considered "Acceptable Accuracy". </t>
  </si>
  <si>
    <t xml:space="preserve">We know that 2026- 1994 = 32. </t>
  </si>
  <si>
    <t>This means x = 32 in 2026.</t>
  </si>
  <si>
    <t>Plug x = 32 in the equation we have:</t>
  </si>
  <si>
    <t>y = 1.116x + 1.2194</t>
  </si>
  <si>
    <t>y = 1.116*32 + 1.2194</t>
  </si>
  <si>
    <t xml:space="preserve">The estimated number of subscribers in 2026 is 36.9314 (mil). </t>
  </si>
  <si>
    <t>Example's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</si>
</sst>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wrapText="1"/>
    </xf>
    <xf numFmtId="0" fontId="6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 readingOrder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'Example''s Solution'!$C$29</c:f>
              <c:strCache>
                <c:ptCount val="1"/>
                <c:pt idx="0">
                  <c:v>DirectTV_Subscribers 
(millions)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406714785651793"/>
                  <c:y val="-0.163248259860788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rgbClr val="FF0000"/>
                        </a:solidFill>
                      </a:rPr>
                      <a:t>y = 1.116x + 1.2194</a:t>
                    </a:r>
                    <a:endParaRPr lang="en-US" sz="140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'Example''s Solution'!$B$30:$B$48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</c:numCache>
            </c:numRef>
          </c:xVal>
          <c:yVal>
            <c:numRef>
              <c:f>'Example''s Solution'!$C$30:$C$48</c:f>
              <c:numCache>
                <c:formatCode>General</c:formatCode>
                <c:ptCount val="19"/>
                <c:pt idx="0">
                  <c:v>0.32</c:v>
                </c:pt>
                <c:pt idx="1">
                  <c:v>1.2</c:v>
                </c:pt>
                <c:pt idx="2">
                  <c:v>2.2999999999999998</c:v>
                </c:pt>
                <c:pt idx="3">
                  <c:v>3.3010000000000002</c:v>
                </c:pt>
                <c:pt idx="4">
                  <c:v>4.4580000000000002</c:v>
                </c:pt>
                <c:pt idx="5">
                  <c:v>6.6790000000000003</c:v>
                </c:pt>
                <c:pt idx="6">
                  <c:v>9.5540000000000003</c:v>
                </c:pt>
                <c:pt idx="7">
                  <c:v>10.218</c:v>
                </c:pt>
                <c:pt idx="8">
                  <c:v>11.180999999999999</c:v>
                </c:pt>
                <c:pt idx="9">
                  <c:v>12.29</c:v>
                </c:pt>
                <c:pt idx="10">
                  <c:v>13</c:v>
                </c:pt>
                <c:pt idx="11">
                  <c:v>15</c:v>
                </c:pt>
                <c:pt idx="12">
                  <c:v>15.95</c:v>
                </c:pt>
                <c:pt idx="13">
                  <c:v>16.829999999999998</c:v>
                </c:pt>
                <c:pt idx="14">
                  <c:v>17.62</c:v>
                </c:pt>
                <c:pt idx="15">
                  <c:v>18.081</c:v>
                </c:pt>
                <c:pt idx="16">
                  <c:v>19.2</c:v>
                </c:pt>
                <c:pt idx="17">
                  <c:v>19.899999999999999</c:v>
                </c:pt>
                <c:pt idx="18">
                  <c:v>20.265000000000001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9-4C89-BED3-1C4B4AFDE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406991"/>
        <c:axId val="856406031"/>
      </c:scatterChart>
      <c:valAx>
        <c:axId val="85640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06031"/>
        <c:crosses val="autoZero"/>
        <c:crossBetween val="midCat"/>
      </c:valAx>
      <c:valAx>
        <c:axId val="8564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0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107950</xdr:rowOff>
    </xdr:to>
    <xdr:sp macro="" textlink="">
      <xdr:nvSpPr>
        <xdr:cNvPr id="1026" name="AutoShape 2" descr="Interpretation of MAPE value [17].">
          <a:extLst>
            <a:ext uri="{FF2B5EF4-FFF2-40B4-BE49-F238E27FC236}">
              <a16:creationId xmlns:a16="http://schemas.microsoft.com/office/drawing/2014/main" id="{FD61C6BD-293C-F956-9A86-B19C7AE5281F}"/>
            </a:ext>
          </a:extLst>
        </xdr:cNvPr>
        <xdr:cNvSpPr>
          <a:spLocks noChangeAspect="1" noChangeArrowheads="1"/>
        </xdr:cNvSpPr>
      </xdr:nvSpPr>
      <xdr:spPr bwMode="auto">
        <a:xfrm>
          <a:off x="0" y="69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107950</xdr:rowOff>
    </xdr:to>
    <xdr:sp macro="" textlink="">
      <xdr:nvSpPr>
        <xdr:cNvPr id="1027" name="AutoShape 3" descr="Interpretation of MAPE value [17].">
          <a:extLst>
            <a:ext uri="{FF2B5EF4-FFF2-40B4-BE49-F238E27FC236}">
              <a16:creationId xmlns:a16="http://schemas.microsoft.com/office/drawing/2014/main" id="{0A9347BC-9AE6-49F4-331B-46C3FD0DA32C}"/>
            </a:ext>
          </a:extLst>
        </xdr:cNvPr>
        <xdr:cNvSpPr>
          <a:spLocks noChangeAspect="1" noChangeArrowheads="1"/>
        </xdr:cNvSpPr>
      </xdr:nvSpPr>
      <xdr:spPr bwMode="auto">
        <a:xfrm>
          <a:off x="1143000" y="64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54</xdr:row>
      <xdr:rowOff>124460</xdr:rowOff>
    </xdr:from>
    <xdr:to>
      <xdr:col>5</xdr:col>
      <xdr:colOff>113030</xdr:colOff>
      <xdr:row>69</xdr:row>
      <xdr:rowOff>119380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BFC74-9372-CFD1-D264-08A056B06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86360</xdr:colOff>
      <xdr:row>106</xdr:row>
      <xdr:rowOff>165150</xdr:rowOff>
    </xdr:from>
    <xdr:to>
      <xdr:col>3</xdr:col>
      <xdr:colOff>632460</xdr:colOff>
      <xdr:row>115</xdr:row>
      <xdr:rowOff>93968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DE0B7-AA08-5DA5-1E83-86C258EB6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" y="21661170"/>
          <a:ext cx="3810000" cy="1704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02642-826C-46F1-9A64-2C97FA63AFF5}" name="Table1" displayName="Table1" ref="B29:C48" totalsRowShown="0" headerRowDxfId="9" dataDxfId="8">
  <autoFilter ref="B29:C48" xr:uid="{80F02642-826C-46F1-9A64-2C97FA63AFF5}"/>
  <tableColumns count="2">
    <tableColumn id="1" xr3:uid="{EE2B634A-A667-4D63-A281-9D5FFF43F439}" name="Year _x000a_(since 1994)" dataDxfId="11"/>
    <tableColumn id="2" xr3:uid="{0E710AF3-00B6-4D1D-A0B2-4F562338EFA7}" name="DirectTV_Subscribers _x000a_(millions)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4A4F3-AD75-4BBF-98FE-E699229FE1A6}" name="Table13" displayName="Table13" ref="B80:G99" totalsRowShown="0" headerRowDxfId="1" dataDxfId="0">
  <autoFilter ref="B80:G99" xr:uid="{9FF4A4F3-AD75-4BBF-98FE-E699229FE1A6}"/>
  <tableColumns count="6">
    <tableColumn id="1" xr3:uid="{6A293DCE-4C73-4D54-B224-7CD1D77C65DF}" name="Year _x000a_(since 1994)" dataDxfId="7"/>
    <tableColumn id="2" xr3:uid="{2D2FDFBB-ED19-4E3B-AC28-6E69788E10CA}" name="DirectTV_Subscribers _x000a_(millions)" dataDxfId="6"/>
    <tableColumn id="3" xr3:uid="{AC4A3E75-CB07-4581-BB01-D67240BB298D}" name="Estimation of Subscribers" dataDxfId="5">
      <calculatedColumnFormula>1.116*Table13[[#This Row],[Year 
(since 1994)]]+1.2194</calculatedColumnFormula>
    </tableColumn>
    <tableColumn id="4" xr3:uid="{0AE28030-B503-4177-BFDD-E6331BB28DCA}" name="Error of Estimation" dataDxfId="4">
      <calculatedColumnFormula xml:space="preserve"> Table13[[#This Row],[Estimation of Subscribers]]-Table13[[#This Row],[DirectTV_Subscribers 
(millions)]]</calculatedColumnFormula>
    </tableColumn>
    <tableColumn id="5" xr3:uid="{5C49C47F-03F5-4E36-9B9A-5033F5150BDB}" name="Absolute Error" dataDxfId="3">
      <calculatedColumnFormula xml:space="preserve"> ABS(Table13[[#This Row],[Error of Estimation]])</calculatedColumnFormula>
    </tableColumn>
    <tableColumn id="6" xr3:uid="{1DE2A552-CFE8-4080-BBCB-D32D490E26C0}" name="Absolute Percentage Error (APE)" dataDxfId="2">
      <calculatedColumnFormula>Table13[[#This Row],[Absolute Error]]/Table13[[#This Row],[DirectTV_Subscribers 
(millions)]]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EA03-EB5D-48B0-A7EB-F586FDF3F12A}">
  <dimension ref="A1:B32"/>
  <sheetViews>
    <sheetView topLeftCell="A6" workbookViewId="0">
      <selection activeCell="A29" sqref="A29"/>
    </sheetView>
  </sheetViews>
  <sheetFormatPr defaultRowHeight="15.5" x14ac:dyDescent="0.35"/>
  <cols>
    <col min="1" max="1" width="16.36328125" style="1" customWidth="1"/>
    <col min="2" max="2" width="21.90625" style="1" customWidth="1"/>
    <col min="3" max="16384" width="8.7265625" style="1"/>
  </cols>
  <sheetData>
    <row r="1" spans="1:2" ht="26" x14ac:dyDescent="0.6">
      <c r="A1" s="8" t="s">
        <v>19</v>
      </c>
    </row>
    <row r="3" spans="1:2" x14ac:dyDescent="0.35">
      <c r="A3" s="6" t="s">
        <v>1</v>
      </c>
    </row>
    <row r="5" spans="1:2" x14ac:dyDescent="0.35">
      <c r="A5" s="1" t="s">
        <v>18</v>
      </c>
    </row>
    <row r="7" spans="1:2" ht="46.5" x14ac:dyDescent="0.35">
      <c r="A7" s="2" t="s">
        <v>0</v>
      </c>
      <c r="B7" s="7" t="s">
        <v>2</v>
      </c>
    </row>
    <row r="8" spans="1:2" x14ac:dyDescent="0.35">
      <c r="A8" s="2">
        <v>0</v>
      </c>
      <c r="B8" s="2">
        <v>0.32</v>
      </c>
    </row>
    <row r="9" spans="1:2" x14ac:dyDescent="0.35">
      <c r="A9" s="2">
        <v>1</v>
      </c>
      <c r="B9" s="2">
        <v>1.2</v>
      </c>
    </row>
    <row r="10" spans="1:2" x14ac:dyDescent="0.35">
      <c r="A10" s="2">
        <v>2</v>
      </c>
      <c r="B10" s="2">
        <v>2.2999999999999998</v>
      </c>
    </row>
    <row r="11" spans="1:2" x14ac:dyDescent="0.35">
      <c r="A11" s="2">
        <v>3</v>
      </c>
      <c r="B11" s="2">
        <v>3.3010000000000002</v>
      </c>
    </row>
    <row r="12" spans="1:2" x14ac:dyDescent="0.35">
      <c r="A12" s="2">
        <v>4</v>
      </c>
      <c r="B12" s="2">
        <v>4.4580000000000002</v>
      </c>
    </row>
    <row r="13" spans="1:2" x14ac:dyDescent="0.35">
      <c r="A13" s="2">
        <v>5</v>
      </c>
      <c r="B13" s="2">
        <v>6.6790000000000003</v>
      </c>
    </row>
    <row r="14" spans="1:2" x14ac:dyDescent="0.35">
      <c r="A14" s="2">
        <v>6</v>
      </c>
      <c r="B14" s="2">
        <v>9.5540000000000003</v>
      </c>
    </row>
    <row r="15" spans="1:2" x14ac:dyDescent="0.35">
      <c r="A15" s="2">
        <v>7</v>
      </c>
      <c r="B15" s="2">
        <v>10.218</v>
      </c>
    </row>
    <row r="16" spans="1:2" x14ac:dyDescent="0.35">
      <c r="A16" s="2">
        <v>8</v>
      </c>
      <c r="B16" s="2">
        <v>11.180999999999999</v>
      </c>
    </row>
    <row r="17" spans="1:2" x14ac:dyDescent="0.35">
      <c r="A17" s="2">
        <v>9</v>
      </c>
      <c r="B17" s="2">
        <v>12.29</v>
      </c>
    </row>
    <row r="18" spans="1:2" x14ac:dyDescent="0.35">
      <c r="A18" s="2">
        <v>10</v>
      </c>
      <c r="B18" s="2">
        <v>13</v>
      </c>
    </row>
    <row r="19" spans="1:2" x14ac:dyDescent="0.35">
      <c r="A19" s="2">
        <v>11</v>
      </c>
      <c r="B19" s="2">
        <v>15</v>
      </c>
    </row>
    <row r="20" spans="1:2" x14ac:dyDescent="0.35">
      <c r="A20" s="2">
        <v>12</v>
      </c>
      <c r="B20" s="2">
        <v>15.95</v>
      </c>
    </row>
    <row r="21" spans="1:2" x14ac:dyDescent="0.35">
      <c r="A21" s="2">
        <v>13</v>
      </c>
      <c r="B21" s="2">
        <v>16.829999999999998</v>
      </c>
    </row>
    <row r="22" spans="1:2" x14ac:dyDescent="0.35">
      <c r="A22" s="2">
        <v>14</v>
      </c>
      <c r="B22" s="2">
        <v>17.62</v>
      </c>
    </row>
    <row r="23" spans="1:2" x14ac:dyDescent="0.35">
      <c r="A23" s="2">
        <v>15</v>
      </c>
      <c r="B23" s="2">
        <v>18.081</v>
      </c>
    </row>
    <row r="24" spans="1:2" x14ac:dyDescent="0.35">
      <c r="A24" s="2">
        <v>16</v>
      </c>
      <c r="B24" s="2">
        <v>19.2</v>
      </c>
    </row>
    <row r="25" spans="1:2" x14ac:dyDescent="0.35">
      <c r="A25" s="2">
        <v>18</v>
      </c>
      <c r="B25" s="2">
        <v>19.899999999999999</v>
      </c>
    </row>
    <row r="26" spans="1:2" x14ac:dyDescent="0.35">
      <c r="A26" s="2">
        <v>20</v>
      </c>
      <c r="B26" s="2">
        <v>20.265000000000001</v>
      </c>
    </row>
    <row r="29" spans="1:2" x14ac:dyDescent="0.35">
      <c r="A29" s="1" t="s">
        <v>3</v>
      </c>
    </row>
    <row r="30" spans="1:2" x14ac:dyDescent="0.35">
      <c r="A30" s="1" t="s">
        <v>4</v>
      </c>
    </row>
    <row r="31" spans="1:2" x14ac:dyDescent="0.35">
      <c r="A31" s="1" t="s">
        <v>5</v>
      </c>
    </row>
    <row r="32" spans="1:2" x14ac:dyDescent="0.35">
      <c r="A32" s="1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903B-5F10-436C-82B8-5C5264D68CF6}">
  <dimension ref="A3:G132"/>
  <sheetViews>
    <sheetView tabSelected="1" workbookViewId="0">
      <selection activeCell="D82" sqref="D82"/>
    </sheetView>
  </sheetViews>
  <sheetFormatPr defaultRowHeight="15.5" x14ac:dyDescent="0.35"/>
  <cols>
    <col min="1" max="1" width="8.7265625" style="1"/>
    <col min="2" max="2" width="22.08984375" style="1" customWidth="1"/>
    <col min="3" max="3" width="24.6328125" style="1" customWidth="1"/>
    <col min="4" max="5" width="25" style="1" customWidth="1"/>
    <col min="6" max="6" width="19.453125" style="1" customWidth="1"/>
    <col min="7" max="7" width="33.36328125" style="1" customWidth="1"/>
    <col min="8" max="16384" width="8.7265625" style="1"/>
  </cols>
  <sheetData>
    <row r="3" spans="1:3" ht="26" x14ac:dyDescent="0.6">
      <c r="A3" s="8" t="s">
        <v>37</v>
      </c>
    </row>
    <row r="4" spans="1:3" ht="31" x14ac:dyDescent="0.35">
      <c r="B4" s="2" t="s">
        <v>0</v>
      </c>
      <c r="C4" s="7" t="s">
        <v>2</v>
      </c>
    </row>
    <row r="5" spans="1:3" x14ac:dyDescent="0.35">
      <c r="B5" s="2">
        <v>0</v>
      </c>
      <c r="C5" s="2">
        <v>0.32</v>
      </c>
    </row>
    <row r="6" spans="1:3" x14ac:dyDescent="0.35">
      <c r="B6" s="2">
        <v>1</v>
      </c>
      <c r="C6" s="2">
        <v>1.2</v>
      </c>
    </row>
    <row r="7" spans="1:3" x14ac:dyDescent="0.35">
      <c r="B7" s="2">
        <v>2</v>
      </c>
      <c r="C7" s="2">
        <v>2.2999999999999998</v>
      </c>
    </row>
    <row r="8" spans="1:3" x14ac:dyDescent="0.35">
      <c r="B8" s="2">
        <v>3</v>
      </c>
      <c r="C8" s="2">
        <v>3.3010000000000002</v>
      </c>
    </row>
    <row r="9" spans="1:3" x14ac:dyDescent="0.35">
      <c r="B9" s="2">
        <v>4</v>
      </c>
      <c r="C9" s="2">
        <v>4.4580000000000002</v>
      </c>
    </row>
    <row r="10" spans="1:3" x14ac:dyDescent="0.35">
      <c r="B10" s="2">
        <v>5</v>
      </c>
      <c r="C10" s="2">
        <v>6.6790000000000003</v>
      </c>
    </row>
    <row r="11" spans="1:3" x14ac:dyDescent="0.35">
      <c r="B11" s="2">
        <v>6</v>
      </c>
      <c r="C11" s="2">
        <v>9.5540000000000003</v>
      </c>
    </row>
    <row r="12" spans="1:3" x14ac:dyDescent="0.35">
      <c r="B12" s="2">
        <v>7</v>
      </c>
      <c r="C12" s="2">
        <v>10.218</v>
      </c>
    </row>
    <row r="13" spans="1:3" x14ac:dyDescent="0.35">
      <c r="B13" s="2">
        <v>8</v>
      </c>
      <c r="C13" s="2">
        <v>11.180999999999999</v>
      </c>
    </row>
    <row r="14" spans="1:3" x14ac:dyDescent="0.35">
      <c r="B14" s="2">
        <v>9</v>
      </c>
      <c r="C14" s="2">
        <v>12.29</v>
      </c>
    </row>
    <row r="15" spans="1:3" x14ac:dyDescent="0.35">
      <c r="B15" s="2">
        <v>10</v>
      </c>
      <c r="C15" s="2">
        <v>13</v>
      </c>
    </row>
    <row r="16" spans="1:3" x14ac:dyDescent="0.35">
      <c r="B16" s="2">
        <v>11</v>
      </c>
      <c r="C16" s="2">
        <v>15</v>
      </c>
    </row>
    <row r="17" spans="1:3" x14ac:dyDescent="0.35">
      <c r="B17" s="2">
        <v>12</v>
      </c>
      <c r="C17" s="2">
        <v>15.95</v>
      </c>
    </row>
    <row r="18" spans="1:3" x14ac:dyDescent="0.35">
      <c r="B18" s="2">
        <v>13</v>
      </c>
      <c r="C18" s="2">
        <v>16.829999999999998</v>
      </c>
    </row>
    <row r="19" spans="1:3" x14ac:dyDescent="0.35">
      <c r="B19" s="2">
        <v>14</v>
      </c>
      <c r="C19" s="2">
        <v>17.62</v>
      </c>
    </row>
    <row r="20" spans="1:3" x14ac:dyDescent="0.35">
      <c r="B20" s="2">
        <v>15</v>
      </c>
      <c r="C20" s="2">
        <v>18.081</v>
      </c>
    </row>
    <row r="21" spans="1:3" x14ac:dyDescent="0.35">
      <c r="B21" s="2">
        <v>16</v>
      </c>
      <c r="C21" s="2">
        <v>19.2</v>
      </c>
    </row>
    <row r="22" spans="1:3" x14ac:dyDescent="0.35">
      <c r="B22" s="2">
        <v>18</v>
      </c>
      <c r="C22" s="2">
        <v>19.899999999999999</v>
      </c>
    </row>
    <row r="23" spans="1:3" x14ac:dyDescent="0.35">
      <c r="B23" s="2">
        <v>20</v>
      </c>
      <c r="C23" s="2">
        <v>20.265000000000001</v>
      </c>
    </row>
    <row r="26" spans="1:3" x14ac:dyDescent="0.35">
      <c r="A26" s="1" t="s">
        <v>20</v>
      </c>
    </row>
    <row r="29" spans="1:3" ht="31" x14ac:dyDescent="0.35">
      <c r="B29" s="2" t="s">
        <v>0</v>
      </c>
      <c r="C29" s="7" t="s">
        <v>2</v>
      </c>
    </row>
    <row r="30" spans="1:3" x14ac:dyDescent="0.35">
      <c r="B30" s="2">
        <v>0</v>
      </c>
      <c r="C30" s="2">
        <v>0.32</v>
      </c>
    </row>
    <row r="31" spans="1:3" x14ac:dyDescent="0.35">
      <c r="B31" s="2">
        <v>1</v>
      </c>
      <c r="C31" s="2">
        <v>1.2</v>
      </c>
    </row>
    <row r="32" spans="1:3" x14ac:dyDescent="0.35">
      <c r="B32" s="2">
        <v>2</v>
      </c>
      <c r="C32" s="2">
        <v>2.2999999999999998</v>
      </c>
    </row>
    <row r="33" spans="2:3" x14ac:dyDescent="0.35">
      <c r="B33" s="2">
        <v>3</v>
      </c>
      <c r="C33" s="2">
        <v>3.3010000000000002</v>
      </c>
    </row>
    <row r="34" spans="2:3" x14ac:dyDescent="0.35">
      <c r="B34" s="2">
        <v>4</v>
      </c>
      <c r="C34" s="2">
        <v>4.4580000000000002</v>
      </c>
    </row>
    <row r="35" spans="2:3" x14ac:dyDescent="0.35">
      <c r="B35" s="2">
        <v>5</v>
      </c>
      <c r="C35" s="2">
        <v>6.6790000000000003</v>
      </c>
    </row>
    <row r="36" spans="2:3" x14ac:dyDescent="0.35">
      <c r="B36" s="2">
        <v>6</v>
      </c>
      <c r="C36" s="2">
        <v>9.5540000000000003</v>
      </c>
    </row>
    <row r="37" spans="2:3" x14ac:dyDescent="0.35">
      <c r="B37" s="2">
        <v>7</v>
      </c>
      <c r="C37" s="2">
        <v>10.218</v>
      </c>
    </row>
    <row r="38" spans="2:3" x14ac:dyDescent="0.35">
      <c r="B38" s="2">
        <v>8</v>
      </c>
      <c r="C38" s="2">
        <v>11.180999999999999</v>
      </c>
    </row>
    <row r="39" spans="2:3" x14ac:dyDescent="0.35">
      <c r="B39" s="2">
        <v>9</v>
      </c>
      <c r="C39" s="2">
        <v>12.29</v>
      </c>
    </row>
    <row r="40" spans="2:3" x14ac:dyDescent="0.35">
      <c r="B40" s="2">
        <v>10</v>
      </c>
      <c r="C40" s="2">
        <v>13</v>
      </c>
    </row>
    <row r="41" spans="2:3" x14ac:dyDescent="0.35">
      <c r="B41" s="2">
        <v>11</v>
      </c>
      <c r="C41" s="2">
        <v>15</v>
      </c>
    </row>
    <row r="42" spans="2:3" x14ac:dyDescent="0.35">
      <c r="B42" s="2">
        <v>12</v>
      </c>
      <c r="C42" s="2">
        <v>15.95</v>
      </c>
    </row>
    <row r="43" spans="2:3" x14ac:dyDescent="0.35">
      <c r="B43" s="2">
        <v>13</v>
      </c>
      <c r="C43" s="2">
        <v>16.829999999999998</v>
      </c>
    </row>
    <row r="44" spans="2:3" x14ac:dyDescent="0.35">
      <c r="B44" s="2">
        <v>14</v>
      </c>
      <c r="C44" s="2">
        <v>17.62</v>
      </c>
    </row>
    <row r="45" spans="2:3" x14ac:dyDescent="0.35">
      <c r="B45" s="2">
        <v>15</v>
      </c>
      <c r="C45" s="2">
        <v>18.081</v>
      </c>
    </row>
    <row r="46" spans="2:3" x14ac:dyDescent="0.35">
      <c r="B46" s="2">
        <v>16</v>
      </c>
      <c r="C46" s="2">
        <v>19.2</v>
      </c>
    </row>
    <row r="47" spans="2:3" x14ac:dyDescent="0.35">
      <c r="B47" s="2">
        <v>18</v>
      </c>
      <c r="C47" s="2">
        <v>19.899999999999999</v>
      </c>
    </row>
    <row r="48" spans="2:3" x14ac:dyDescent="0.35">
      <c r="B48" s="2">
        <v>20</v>
      </c>
      <c r="C48" s="2">
        <v>20.265000000000001</v>
      </c>
    </row>
    <row r="52" spans="1:1" x14ac:dyDescent="0.35">
      <c r="A52" s="1" t="s">
        <v>21</v>
      </c>
    </row>
    <row r="73" spans="1:7" x14ac:dyDescent="0.35">
      <c r="A73" s="1" t="s">
        <v>22</v>
      </c>
    </row>
    <row r="76" spans="1:7" x14ac:dyDescent="0.35">
      <c r="A76" s="1" t="s">
        <v>5</v>
      </c>
    </row>
    <row r="78" spans="1:7" x14ac:dyDescent="0.35">
      <c r="A78" s="1" t="s">
        <v>23</v>
      </c>
    </row>
    <row r="80" spans="1:7" ht="31" x14ac:dyDescent="0.35">
      <c r="B80" s="2" t="s">
        <v>0</v>
      </c>
      <c r="C80" s="7" t="s">
        <v>2</v>
      </c>
      <c r="D80" s="2" t="s">
        <v>24</v>
      </c>
      <c r="E80" s="2" t="s">
        <v>25</v>
      </c>
      <c r="F80" s="2" t="s">
        <v>26</v>
      </c>
      <c r="G80" s="2" t="s">
        <v>27</v>
      </c>
    </row>
    <row r="81" spans="2:7" x14ac:dyDescent="0.35">
      <c r="B81" s="2">
        <v>0</v>
      </c>
      <c r="C81" s="2">
        <v>0.32</v>
      </c>
      <c r="D81" s="2">
        <f>1.116*Table13[[#This Row],[Year 
(since 1994)]]+1.2194</f>
        <v>1.2194</v>
      </c>
      <c r="E81" s="2">
        <f xml:space="preserve"> Table13[[#This Row],[Estimation of Subscribers]]-Table13[[#This Row],[DirectTV_Subscribers 
(millions)]]</f>
        <v>0.89939999999999998</v>
      </c>
      <c r="F81" s="2">
        <f xml:space="preserve"> ABS(Table13[[#This Row],[Error of Estimation]])</f>
        <v>0.89939999999999998</v>
      </c>
      <c r="G81" s="9">
        <f>Table13[[#This Row],[Absolute Error]]/Table13[[#This Row],[DirectTV_Subscribers 
(millions)]]</f>
        <v>2.8106249999999999</v>
      </c>
    </row>
    <row r="82" spans="2:7" x14ac:dyDescent="0.35">
      <c r="B82" s="2">
        <v>1</v>
      </c>
      <c r="C82" s="2">
        <v>1.2</v>
      </c>
      <c r="D82" s="2">
        <f>1.116*Table13[[#This Row],[Year 
(since 1994)]]+1.2194</f>
        <v>2.3353999999999999</v>
      </c>
      <c r="E82" s="2">
        <f xml:space="preserve"> Table13[[#This Row],[Estimation of Subscribers]]-Table13[[#This Row],[DirectTV_Subscribers 
(millions)]]</f>
        <v>1.1354</v>
      </c>
      <c r="F82" s="2">
        <f xml:space="preserve"> ABS(Table13[[#This Row],[Error of Estimation]])</f>
        <v>1.1354</v>
      </c>
      <c r="G82" s="9">
        <f>Table13[[#This Row],[Absolute Error]]/Table13[[#This Row],[DirectTV_Subscribers 
(millions)]]</f>
        <v>0.94616666666666671</v>
      </c>
    </row>
    <row r="83" spans="2:7" x14ac:dyDescent="0.35">
      <c r="B83" s="2">
        <v>2</v>
      </c>
      <c r="C83" s="2">
        <v>2.2999999999999998</v>
      </c>
      <c r="D83" s="2">
        <f>1.116*Table13[[#This Row],[Year 
(since 1994)]]+1.2194</f>
        <v>3.4514000000000005</v>
      </c>
      <c r="E83" s="2">
        <f xml:space="preserve"> Table13[[#This Row],[Estimation of Subscribers]]-Table13[[#This Row],[DirectTV_Subscribers 
(millions)]]</f>
        <v>1.1514000000000006</v>
      </c>
      <c r="F83" s="2">
        <f xml:space="preserve"> ABS(Table13[[#This Row],[Error of Estimation]])</f>
        <v>1.1514000000000006</v>
      </c>
      <c r="G83" s="9">
        <f>Table13[[#This Row],[Absolute Error]]/Table13[[#This Row],[DirectTV_Subscribers 
(millions)]]</f>
        <v>0.50060869565217425</v>
      </c>
    </row>
    <row r="84" spans="2:7" x14ac:dyDescent="0.35">
      <c r="B84" s="2">
        <v>3</v>
      </c>
      <c r="C84" s="2">
        <v>3.3010000000000002</v>
      </c>
      <c r="D84" s="2">
        <f>1.116*Table13[[#This Row],[Year 
(since 1994)]]+1.2194</f>
        <v>4.5674000000000001</v>
      </c>
      <c r="E84" s="2">
        <f xml:space="preserve"> Table13[[#This Row],[Estimation of Subscribers]]-Table13[[#This Row],[DirectTV_Subscribers 
(millions)]]</f>
        <v>1.2664</v>
      </c>
      <c r="F84" s="2">
        <f xml:space="preserve"> ABS(Table13[[#This Row],[Error of Estimation]])</f>
        <v>1.2664</v>
      </c>
      <c r="G84" s="9">
        <f>Table13[[#This Row],[Absolute Error]]/Table13[[#This Row],[DirectTV_Subscribers 
(millions)]]</f>
        <v>0.38364132081187519</v>
      </c>
    </row>
    <row r="85" spans="2:7" x14ac:dyDescent="0.35">
      <c r="B85" s="2">
        <v>4</v>
      </c>
      <c r="C85" s="2">
        <v>4.4580000000000002</v>
      </c>
      <c r="D85" s="2">
        <f>1.116*Table13[[#This Row],[Year 
(since 1994)]]+1.2194</f>
        <v>5.6834000000000007</v>
      </c>
      <c r="E85" s="2">
        <f xml:space="preserve"> Table13[[#This Row],[Estimation of Subscribers]]-Table13[[#This Row],[DirectTV_Subscribers 
(millions)]]</f>
        <v>1.2254000000000005</v>
      </c>
      <c r="F85" s="2">
        <f xml:space="preserve"> ABS(Table13[[#This Row],[Error of Estimation]])</f>
        <v>1.2254000000000005</v>
      </c>
      <c r="G85" s="9">
        <f>Table13[[#This Row],[Absolute Error]]/Table13[[#This Row],[DirectTV_Subscribers 
(millions)]]</f>
        <v>0.27487662628981618</v>
      </c>
    </row>
    <row r="86" spans="2:7" x14ac:dyDescent="0.35">
      <c r="B86" s="2">
        <v>5</v>
      </c>
      <c r="C86" s="2">
        <v>6.6790000000000003</v>
      </c>
      <c r="D86" s="2">
        <f>1.116*Table13[[#This Row],[Year 
(since 1994)]]+1.2194</f>
        <v>6.7994000000000003</v>
      </c>
      <c r="E86" s="2">
        <f xml:space="preserve"> Table13[[#This Row],[Estimation of Subscribers]]-Table13[[#This Row],[DirectTV_Subscribers 
(millions)]]</f>
        <v>0.12040000000000006</v>
      </c>
      <c r="F86" s="2">
        <f xml:space="preserve"> ABS(Table13[[#This Row],[Error of Estimation]])</f>
        <v>0.12040000000000006</v>
      </c>
      <c r="G86" s="9">
        <f>Table13[[#This Row],[Absolute Error]]/Table13[[#This Row],[DirectTV_Subscribers 
(millions)]]</f>
        <v>1.8026650696212017E-2</v>
      </c>
    </row>
    <row r="87" spans="2:7" x14ac:dyDescent="0.35">
      <c r="B87" s="2">
        <v>6</v>
      </c>
      <c r="C87" s="2">
        <v>9.5540000000000003</v>
      </c>
      <c r="D87" s="2">
        <f>1.116*Table13[[#This Row],[Year 
(since 1994)]]+1.2194</f>
        <v>7.9154000000000009</v>
      </c>
      <c r="E87" s="2">
        <f xml:space="preserve"> Table13[[#This Row],[Estimation of Subscribers]]-Table13[[#This Row],[DirectTV_Subscribers 
(millions)]]</f>
        <v>-1.6385999999999994</v>
      </c>
      <c r="F87" s="2">
        <f xml:space="preserve"> ABS(Table13[[#This Row],[Error of Estimation]])</f>
        <v>1.6385999999999994</v>
      </c>
      <c r="G87" s="9">
        <f>Table13[[#This Row],[Absolute Error]]/Table13[[#This Row],[DirectTV_Subscribers 
(millions)]]</f>
        <v>0.17150931546996015</v>
      </c>
    </row>
    <row r="88" spans="2:7" x14ac:dyDescent="0.35">
      <c r="B88" s="2">
        <v>7</v>
      </c>
      <c r="C88" s="2">
        <v>10.218</v>
      </c>
      <c r="D88" s="2">
        <f>1.116*Table13[[#This Row],[Year 
(since 1994)]]+1.2194</f>
        <v>9.0314000000000014</v>
      </c>
      <c r="E88" s="2">
        <f xml:space="preserve"> Table13[[#This Row],[Estimation of Subscribers]]-Table13[[#This Row],[DirectTV_Subscribers 
(millions)]]</f>
        <v>-1.1865999999999985</v>
      </c>
      <c r="F88" s="2">
        <f xml:space="preserve"> ABS(Table13[[#This Row],[Error of Estimation]])</f>
        <v>1.1865999999999985</v>
      </c>
      <c r="G88" s="9">
        <f>Table13[[#This Row],[Absolute Error]]/Table13[[#This Row],[DirectTV_Subscribers 
(millions)]]</f>
        <v>0.11612840086122515</v>
      </c>
    </row>
    <row r="89" spans="2:7" x14ac:dyDescent="0.35">
      <c r="B89" s="2">
        <v>8</v>
      </c>
      <c r="C89" s="2">
        <v>11.180999999999999</v>
      </c>
      <c r="D89" s="2">
        <f>1.116*Table13[[#This Row],[Year 
(since 1994)]]+1.2194</f>
        <v>10.147400000000001</v>
      </c>
      <c r="E89" s="2">
        <f xml:space="preserve"> Table13[[#This Row],[Estimation of Subscribers]]-Table13[[#This Row],[DirectTV_Subscribers 
(millions)]]</f>
        <v>-1.0335999999999981</v>
      </c>
      <c r="F89" s="2">
        <f xml:space="preserve"> ABS(Table13[[#This Row],[Error of Estimation]])</f>
        <v>1.0335999999999981</v>
      </c>
      <c r="G89" s="9">
        <f>Table13[[#This Row],[Absolute Error]]/Table13[[#This Row],[DirectTV_Subscribers 
(millions)]]</f>
        <v>9.2442536445756035E-2</v>
      </c>
    </row>
    <row r="90" spans="2:7" x14ac:dyDescent="0.35">
      <c r="B90" s="2">
        <v>9</v>
      </c>
      <c r="C90" s="2">
        <v>12.29</v>
      </c>
      <c r="D90" s="2">
        <f>1.116*Table13[[#This Row],[Year 
(since 1994)]]+1.2194</f>
        <v>11.263400000000001</v>
      </c>
      <c r="E90" s="2">
        <f xml:space="preserve"> Table13[[#This Row],[Estimation of Subscribers]]-Table13[[#This Row],[DirectTV_Subscribers 
(millions)]]</f>
        <v>-1.0265999999999984</v>
      </c>
      <c r="F90" s="2">
        <f xml:space="preserve"> ABS(Table13[[#This Row],[Error of Estimation]])</f>
        <v>1.0265999999999984</v>
      </c>
      <c r="G90" s="9">
        <f>Table13[[#This Row],[Absolute Error]]/Table13[[#This Row],[DirectTV_Subscribers 
(millions)]]</f>
        <v>8.353132628152958E-2</v>
      </c>
    </row>
    <row r="91" spans="2:7" x14ac:dyDescent="0.35">
      <c r="B91" s="2">
        <v>10</v>
      </c>
      <c r="C91" s="2">
        <v>13</v>
      </c>
      <c r="D91" s="2">
        <f>1.116*Table13[[#This Row],[Year 
(since 1994)]]+1.2194</f>
        <v>12.3794</v>
      </c>
      <c r="E91" s="2">
        <f xml:space="preserve"> Table13[[#This Row],[Estimation of Subscribers]]-Table13[[#This Row],[DirectTV_Subscribers 
(millions)]]</f>
        <v>-0.6205999999999996</v>
      </c>
      <c r="F91" s="2">
        <f xml:space="preserve"> ABS(Table13[[#This Row],[Error of Estimation]])</f>
        <v>0.6205999999999996</v>
      </c>
      <c r="G91" s="9">
        <f>Table13[[#This Row],[Absolute Error]]/Table13[[#This Row],[DirectTV_Subscribers 
(millions)]]</f>
        <v>4.7738461538461507E-2</v>
      </c>
    </row>
    <row r="92" spans="2:7" x14ac:dyDescent="0.35">
      <c r="B92" s="2">
        <v>11</v>
      </c>
      <c r="C92" s="2">
        <v>15</v>
      </c>
      <c r="D92" s="2">
        <f>1.116*Table13[[#This Row],[Year 
(since 1994)]]+1.2194</f>
        <v>13.495400000000002</v>
      </c>
      <c r="E92" s="2">
        <f xml:space="preserve"> Table13[[#This Row],[Estimation of Subscribers]]-Table13[[#This Row],[DirectTV_Subscribers 
(millions)]]</f>
        <v>-1.5045999999999982</v>
      </c>
      <c r="F92" s="2">
        <f xml:space="preserve"> ABS(Table13[[#This Row],[Error of Estimation]])</f>
        <v>1.5045999999999982</v>
      </c>
      <c r="G92" s="9">
        <f>Table13[[#This Row],[Absolute Error]]/Table13[[#This Row],[DirectTV_Subscribers 
(millions)]]</f>
        <v>0.10030666666666654</v>
      </c>
    </row>
    <row r="93" spans="2:7" x14ac:dyDescent="0.35">
      <c r="B93" s="2">
        <v>12</v>
      </c>
      <c r="C93" s="2">
        <v>15.95</v>
      </c>
      <c r="D93" s="2">
        <f>1.116*Table13[[#This Row],[Year 
(since 1994)]]+1.2194</f>
        <v>14.611400000000001</v>
      </c>
      <c r="E93" s="2">
        <f xml:space="preserve"> Table13[[#This Row],[Estimation of Subscribers]]-Table13[[#This Row],[DirectTV_Subscribers 
(millions)]]</f>
        <v>-1.3385999999999978</v>
      </c>
      <c r="F93" s="2">
        <f xml:space="preserve"> ABS(Table13[[#This Row],[Error of Estimation]])</f>
        <v>1.3385999999999978</v>
      </c>
      <c r="G93" s="9">
        <f>Table13[[#This Row],[Absolute Error]]/Table13[[#This Row],[DirectTV_Subscribers 
(millions)]]</f>
        <v>8.3924764890282E-2</v>
      </c>
    </row>
    <row r="94" spans="2:7" x14ac:dyDescent="0.35">
      <c r="B94" s="2">
        <v>13</v>
      </c>
      <c r="C94" s="2">
        <v>16.829999999999998</v>
      </c>
      <c r="D94" s="2">
        <f>1.116*Table13[[#This Row],[Year 
(since 1994)]]+1.2194</f>
        <v>15.727400000000001</v>
      </c>
      <c r="E94" s="2">
        <f xml:space="preserve"> Table13[[#This Row],[Estimation of Subscribers]]-Table13[[#This Row],[DirectTV_Subscribers 
(millions)]]</f>
        <v>-1.1025999999999971</v>
      </c>
      <c r="F94" s="2">
        <f xml:space="preserve"> ABS(Table13[[#This Row],[Error of Estimation]])</f>
        <v>1.1025999999999971</v>
      </c>
      <c r="G94" s="9">
        <f>Table13[[#This Row],[Absolute Error]]/Table13[[#This Row],[DirectTV_Subscribers 
(millions)]]</f>
        <v>6.5513963161021815E-2</v>
      </c>
    </row>
    <row r="95" spans="2:7" x14ac:dyDescent="0.35">
      <c r="B95" s="2">
        <v>14</v>
      </c>
      <c r="C95" s="2">
        <v>17.62</v>
      </c>
      <c r="D95" s="2">
        <f>1.116*Table13[[#This Row],[Year 
(since 1994)]]+1.2194</f>
        <v>16.843400000000003</v>
      </c>
      <c r="E95" s="2">
        <f xml:space="preserve"> Table13[[#This Row],[Estimation of Subscribers]]-Table13[[#This Row],[DirectTV_Subscribers 
(millions)]]</f>
        <v>-0.7765999999999984</v>
      </c>
      <c r="F95" s="2">
        <f xml:space="preserve"> ABS(Table13[[#This Row],[Error of Estimation]])</f>
        <v>0.7765999999999984</v>
      </c>
      <c r="G95" s="9">
        <f>Table13[[#This Row],[Absolute Error]]/Table13[[#This Row],[DirectTV_Subscribers 
(millions)]]</f>
        <v>4.4074914869466422E-2</v>
      </c>
    </row>
    <row r="96" spans="2:7" x14ac:dyDescent="0.35">
      <c r="B96" s="2">
        <v>15</v>
      </c>
      <c r="C96" s="2">
        <v>18.081</v>
      </c>
      <c r="D96" s="2">
        <f>1.116*Table13[[#This Row],[Year 
(since 1994)]]+1.2194</f>
        <v>17.959400000000002</v>
      </c>
      <c r="E96" s="2">
        <f xml:space="preserve"> Table13[[#This Row],[Estimation of Subscribers]]-Table13[[#This Row],[DirectTV_Subscribers 
(millions)]]</f>
        <v>-0.12159999999999727</v>
      </c>
      <c r="F96" s="2">
        <f xml:space="preserve"> ABS(Table13[[#This Row],[Error of Estimation]])</f>
        <v>0.12159999999999727</v>
      </c>
      <c r="G96" s="9">
        <f>Table13[[#This Row],[Absolute Error]]/Table13[[#This Row],[DirectTV_Subscribers 
(millions)]]</f>
        <v>6.7252917427131943E-3</v>
      </c>
    </row>
    <row r="97" spans="2:7" x14ac:dyDescent="0.35">
      <c r="B97" s="2">
        <v>16</v>
      </c>
      <c r="C97" s="2">
        <v>19.2</v>
      </c>
      <c r="D97" s="2">
        <f>1.116*Table13[[#This Row],[Year 
(since 1994)]]+1.2194</f>
        <v>19.075400000000002</v>
      </c>
      <c r="E97" s="2">
        <f xml:space="preserve"> Table13[[#This Row],[Estimation of Subscribers]]-Table13[[#This Row],[DirectTV_Subscribers 
(millions)]]</f>
        <v>-0.12459999999999738</v>
      </c>
      <c r="F97" s="2">
        <f xml:space="preserve"> ABS(Table13[[#This Row],[Error of Estimation]])</f>
        <v>0.12459999999999738</v>
      </c>
      <c r="G97" s="9">
        <f>Table13[[#This Row],[Absolute Error]]/Table13[[#This Row],[DirectTV_Subscribers 
(millions)]]</f>
        <v>6.4895833333331971E-3</v>
      </c>
    </row>
    <row r="98" spans="2:7" x14ac:dyDescent="0.35">
      <c r="B98" s="2">
        <v>18</v>
      </c>
      <c r="C98" s="2">
        <v>19.899999999999999</v>
      </c>
      <c r="D98" s="2">
        <f>1.116*Table13[[#This Row],[Year 
(since 1994)]]+1.2194</f>
        <v>21.307400000000001</v>
      </c>
      <c r="E98" s="2">
        <f xml:space="preserve"> Table13[[#This Row],[Estimation of Subscribers]]-Table13[[#This Row],[DirectTV_Subscribers 
(millions)]]</f>
        <v>1.4074000000000026</v>
      </c>
      <c r="F98" s="2">
        <f xml:space="preserve"> ABS(Table13[[#This Row],[Error of Estimation]])</f>
        <v>1.4074000000000026</v>
      </c>
      <c r="G98" s="9">
        <f>Table13[[#This Row],[Absolute Error]]/Table13[[#This Row],[DirectTV_Subscribers 
(millions)]]</f>
        <v>7.0723618090452398E-2</v>
      </c>
    </row>
    <row r="99" spans="2:7" x14ac:dyDescent="0.35">
      <c r="B99" s="2">
        <v>20</v>
      </c>
      <c r="C99" s="2">
        <v>20.265000000000001</v>
      </c>
      <c r="D99" s="2">
        <f>1.116*Table13[[#This Row],[Year 
(since 1994)]]+1.2194</f>
        <v>23.539400000000001</v>
      </c>
      <c r="E99" s="2">
        <f xml:space="preserve"> Table13[[#This Row],[Estimation of Subscribers]]-Table13[[#This Row],[DirectTV_Subscribers 
(millions)]]</f>
        <v>3.2744</v>
      </c>
      <c r="F99" s="2">
        <f xml:space="preserve"> ABS(Table13[[#This Row],[Error of Estimation]])</f>
        <v>3.2744</v>
      </c>
      <c r="G99" s="9">
        <f>Table13[[#This Row],[Absolute Error]]/Table13[[#This Row],[DirectTV_Subscribers 
(millions)]]</f>
        <v>0.16157907722674561</v>
      </c>
    </row>
    <row r="102" spans="2:7" x14ac:dyDescent="0.35">
      <c r="F102" s="10" t="s">
        <v>28</v>
      </c>
      <c r="G102" s="1">
        <f xml:space="preserve"> AVERAGE(Table13[Absolute Percentage Error (APE)])</f>
        <v>0.31498067793128204</v>
      </c>
    </row>
    <row r="104" spans="2:7" x14ac:dyDescent="0.35">
      <c r="B104" s="1" t="s">
        <v>29</v>
      </c>
    </row>
    <row r="105" spans="2:7" x14ac:dyDescent="0.35">
      <c r="B105" s="1" t="s">
        <v>30</v>
      </c>
    </row>
    <row r="119" spans="1:2" x14ac:dyDescent="0.35">
      <c r="A119" s="1" t="s">
        <v>6</v>
      </c>
    </row>
    <row r="121" spans="1:2" x14ac:dyDescent="0.35">
      <c r="B121" s="1" t="s">
        <v>31</v>
      </c>
    </row>
    <row r="123" spans="1:2" x14ac:dyDescent="0.35">
      <c r="B123" s="1" t="s">
        <v>32</v>
      </c>
    </row>
    <row r="125" spans="1:2" x14ac:dyDescent="0.35">
      <c r="B125" s="1" t="s">
        <v>33</v>
      </c>
    </row>
    <row r="127" spans="1:2" x14ac:dyDescent="0.35">
      <c r="B127" s="11" t="s">
        <v>34</v>
      </c>
    </row>
    <row r="129" spans="1:3" x14ac:dyDescent="0.35">
      <c r="B129" s="1" t="s">
        <v>35</v>
      </c>
      <c r="C129" s="1">
        <f xml:space="preserve"> 1.116*32 + 1.2194</f>
        <v>36.931400000000004</v>
      </c>
    </row>
    <row r="132" spans="1:3" x14ac:dyDescent="0.35">
      <c r="A132" s="1" t="s">
        <v>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D26E-BB95-4102-87AC-A59271CC23AF}">
  <dimension ref="A1:H54"/>
  <sheetViews>
    <sheetView workbookViewId="0">
      <selection activeCell="E52" sqref="E52"/>
    </sheetView>
  </sheetViews>
  <sheetFormatPr defaultColWidth="8.90625" defaultRowHeight="15.5" x14ac:dyDescent="0.35"/>
  <cols>
    <col min="1" max="1" width="19.6328125" style="1" customWidth="1"/>
    <col min="2" max="2" width="15.08984375" style="1" customWidth="1"/>
    <col min="3" max="16384" width="8.90625" style="1"/>
  </cols>
  <sheetData>
    <row r="1" spans="1:8" ht="26" x14ac:dyDescent="0.6">
      <c r="A1" s="5" t="s">
        <v>7</v>
      </c>
    </row>
    <row r="2" spans="1:8" customFormat="1" ht="14.5" x14ac:dyDescent="0.35"/>
    <row r="3" spans="1:8" x14ac:dyDescent="0.35">
      <c r="A3" s="3" t="s">
        <v>13</v>
      </c>
      <c r="B3" s="4"/>
      <c r="C3" s="4"/>
      <c r="D3" s="4"/>
      <c r="E3" s="4"/>
      <c r="F3" s="4"/>
      <c r="G3" s="4"/>
      <c r="H3" s="4"/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 t="s">
        <v>16</v>
      </c>
      <c r="B5" s="4"/>
      <c r="C5" s="4"/>
      <c r="D5" s="4"/>
      <c r="E5" s="4"/>
      <c r="F5" s="4"/>
      <c r="G5" s="4"/>
      <c r="H5" s="4"/>
    </row>
    <row r="6" spans="1:8" x14ac:dyDescent="0.35">
      <c r="A6" s="4" t="s">
        <v>14</v>
      </c>
      <c r="B6" s="4"/>
      <c r="C6" s="4"/>
      <c r="D6" s="4"/>
      <c r="E6" s="4"/>
      <c r="F6" s="4"/>
      <c r="G6" s="4"/>
      <c r="H6" s="4"/>
    </row>
    <row r="7" spans="1:8" x14ac:dyDescent="0.35">
      <c r="A7" s="4" t="s">
        <v>17</v>
      </c>
      <c r="B7" s="4"/>
      <c r="C7" s="4"/>
      <c r="D7" s="4"/>
      <c r="E7" s="4"/>
      <c r="F7" s="4"/>
      <c r="G7" s="4"/>
      <c r="H7" s="4"/>
    </row>
    <row r="8" spans="1:8" x14ac:dyDescent="0.35">
      <c r="A8" s="4" t="s">
        <v>15</v>
      </c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1" t="s">
        <v>9</v>
      </c>
    </row>
    <row r="11" spans="1:8" x14ac:dyDescent="0.35">
      <c r="A11" s="1" t="s">
        <v>10</v>
      </c>
    </row>
    <row r="13" spans="1:8" x14ac:dyDescent="0.35">
      <c r="A13" s="2" t="s">
        <v>8</v>
      </c>
      <c r="B13" s="2" t="s">
        <v>11</v>
      </c>
    </row>
    <row r="14" spans="1:8" x14ac:dyDescent="0.35">
      <c r="A14" s="2">
        <v>0</v>
      </c>
      <c r="B14" s="2">
        <v>0.43</v>
      </c>
    </row>
    <row r="15" spans="1:8" x14ac:dyDescent="0.35">
      <c r="A15" s="2">
        <v>1</v>
      </c>
      <c r="B15" s="2">
        <v>0.3</v>
      </c>
    </row>
    <row r="16" spans="1:8" x14ac:dyDescent="0.35">
      <c r="A16" s="2">
        <v>2</v>
      </c>
      <c r="B16" s="2">
        <v>0.2</v>
      </c>
    </row>
    <row r="17" spans="1:2" x14ac:dyDescent="0.35">
      <c r="A17" s="2">
        <v>3</v>
      </c>
      <c r="B17" s="2">
        <v>0.21</v>
      </c>
    </row>
    <row r="18" spans="1:2" x14ac:dyDescent="0.35">
      <c r="A18" s="2">
        <v>4</v>
      </c>
      <c r="B18" s="2">
        <v>0.39</v>
      </c>
    </row>
    <row r="19" spans="1:2" x14ac:dyDescent="0.35">
      <c r="A19" s="2">
        <v>5</v>
      </c>
      <c r="B19" s="2">
        <v>0.31</v>
      </c>
    </row>
    <row r="20" spans="1:2" x14ac:dyDescent="0.35">
      <c r="A20" s="2">
        <v>6</v>
      </c>
      <c r="B20" s="2">
        <v>0.36</v>
      </c>
    </row>
    <row r="21" spans="1:2" x14ac:dyDescent="0.35">
      <c r="A21" s="2">
        <v>7</v>
      </c>
      <c r="B21" s="2">
        <v>0.57999999999999996</v>
      </c>
    </row>
    <row r="22" spans="1:2" x14ac:dyDescent="0.35">
      <c r="A22" s="2">
        <v>8</v>
      </c>
      <c r="B22" s="2">
        <v>0.57999999999999996</v>
      </c>
    </row>
    <row r="23" spans="1:2" x14ac:dyDescent="0.35">
      <c r="A23" s="2">
        <v>9</v>
      </c>
      <c r="B23" s="2">
        <v>0.47</v>
      </c>
    </row>
    <row r="24" spans="1:2" x14ac:dyDescent="0.35">
      <c r="A24" s="2">
        <v>10</v>
      </c>
      <c r="B24" s="2">
        <v>0.3</v>
      </c>
    </row>
    <row r="25" spans="1:2" x14ac:dyDescent="0.35">
      <c r="A25" s="2">
        <v>11</v>
      </c>
      <c r="B25" s="2">
        <v>0.62</v>
      </c>
    </row>
    <row r="26" spans="1:2" x14ac:dyDescent="0.35">
      <c r="A26" s="2">
        <v>12</v>
      </c>
      <c r="B26" s="2">
        <v>0.51</v>
      </c>
    </row>
    <row r="27" spans="1:2" x14ac:dyDescent="0.35">
      <c r="A27" s="2">
        <v>13</v>
      </c>
      <c r="B27" s="2">
        <v>0.73</v>
      </c>
    </row>
    <row r="28" spans="1:2" x14ac:dyDescent="0.35">
      <c r="A28" s="2">
        <v>14</v>
      </c>
      <c r="B28" s="2">
        <v>0.54</v>
      </c>
    </row>
    <row r="29" spans="1:2" x14ac:dyDescent="0.35">
      <c r="A29" s="2">
        <v>15</v>
      </c>
      <c r="B29" s="2">
        <v>0.73</v>
      </c>
    </row>
    <row r="30" spans="1:2" x14ac:dyDescent="0.35">
      <c r="A30" s="2">
        <v>16</v>
      </c>
      <c r="B30" s="2">
        <v>0.78</v>
      </c>
    </row>
    <row r="31" spans="1:2" x14ac:dyDescent="0.35">
      <c r="A31" s="2">
        <v>17</v>
      </c>
      <c r="B31" s="2">
        <v>0.49</v>
      </c>
    </row>
    <row r="32" spans="1:2" x14ac:dyDescent="0.35">
      <c r="A32" s="2">
        <v>18</v>
      </c>
      <c r="B32" s="2">
        <v>0.59</v>
      </c>
    </row>
    <row r="33" spans="1:2" x14ac:dyDescent="0.35">
      <c r="A33" s="2">
        <v>19</v>
      </c>
      <c r="B33" s="2">
        <v>0.72</v>
      </c>
    </row>
    <row r="34" spans="1:2" x14ac:dyDescent="0.35">
      <c r="A34" s="2">
        <v>20</v>
      </c>
      <c r="B34" s="2">
        <v>0.51</v>
      </c>
    </row>
    <row r="35" spans="1:2" x14ac:dyDescent="0.35">
      <c r="A35" s="2">
        <v>21</v>
      </c>
      <c r="B35" s="2">
        <v>0.59</v>
      </c>
    </row>
    <row r="36" spans="1:2" x14ac:dyDescent="0.35">
      <c r="A36" s="2">
        <v>22</v>
      </c>
      <c r="B36" s="2">
        <v>0.53</v>
      </c>
    </row>
    <row r="37" spans="1:2" x14ac:dyDescent="0.35">
      <c r="A37" s="2">
        <v>23</v>
      </c>
      <c r="B37" s="2">
        <v>0.71</v>
      </c>
    </row>
    <row r="38" spans="1:2" x14ac:dyDescent="0.35">
      <c r="A38" s="2">
        <v>24</v>
      </c>
      <c r="B38" s="2">
        <v>0.8</v>
      </c>
    </row>
    <row r="39" spans="1:2" x14ac:dyDescent="0.35">
      <c r="A39" s="2">
        <v>25</v>
      </c>
      <c r="B39" s="2">
        <v>1.1200000000000001</v>
      </c>
    </row>
    <row r="40" spans="1:2" x14ac:dyDescent="0.35">
      <c r="A40" s="2">
        <v>26</v>
      </c>
      <c r="B40" s="2">
        <v>0.9</v>
      </c>
    </row>
    <row r="41" spans="1:2" x14ac:dyDescent="0.35">
      <c r="A41" s="2">
        <v>27</v>
      </c>
      <c r="B41" s="2">
        <v>0.97</v>
      </c>
    </row>
    <row r="42" spans="1:2" x14ac:dyDescent="0.35">
      <c r="A42" s="2">
        <v>28</v>
      </c>
      <c r="B42" s="2">
        <v>0.95</v>
      </c>
    </row>
    <row r="43" spans="1:2" x14ac:dyDescent="0.35">
      <c r="A43" s="2">
        <v>29</v>
      </c>
      <c r="B43" s="2">
        <v>1.1299999999999999</v>
      </c>
    </row>
    <row r="44" spans="1:2" x14ac:dyDescent="0.35">
      <c r="A44" s="2">
        <v>30</v>
      </c>
      <c r="B44" s="2">
        <v>0.83</v>
      </c>
    </row>
    <row r="45" spans="1:2" x14ac:dyDescent="0.35">
      <c r="A45" s="2">
        <v>31</v>
      </c>
      <c r="B45" s="2">
        <v>0.9</v>
      </c>
    </row>
    <row r="46" spans="1:2" x14ac:dyDescent="0.35">
      <c r="A46" s="2">
        <v>32</v>
      </c>
      <c r="B46" s="2">
        <v>0.83</v>
      </c>
    </row>
    <row r="47" spans="1:2" x14ac:dyDescent="0.35">
      <c r="A47" s="2">
        <v>33</v>
      </c>
      <c r="B47" s="2">
        <v>1.39</v>
      </c>
    </row>
    <row r="48" spans="1:2" x14ac:dyDescent="0.35">
      <c r="A48" s="2">
        <v>34</v>
      </c>
      <c r="B48" s="2">
        <v>1.3</v>
      </c>
    </row>
    <row r="49" spans="1:2" x14ac:dyDescent="0.35">
      <c r="A49" s="2">
        <v>35</v>
      </c>
      <c r="B49" s="2">
        <v>1.05</v>
      </c>
    </row>
    <row r="51" spans="1:2" x14ac:dyDescent="0.35">
      <c r="A51" s="1" t="s">
        <v>3</v>
      </c>
    </row>
    <row r="52" spans="1:2" x14ac:dyDescent="0.35">
      <c r="A52" s="1" t="s">
        <v>4</v>
      </c>
    </row>
    <row r="53" spans="1:2" x14ac:dyDescent="0.35">
      <c r="A53" s="1" t="s">
        <v>5</v>
      </c>
    </row>
    <row r="54" spans="1:2" x14ac:dyDescent="0.35">
      <c r="A5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</vt:lpstr>
      <vt:lpstr>Example's Solution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2024-01-03T14:49:16Z</dcterms:created>
  <dcterms:modified xsi:type="dcterms:W3CDTF">2026-02-10T16:45:47Z</dcterms:modified>
</cp:coreProperties>
</file>